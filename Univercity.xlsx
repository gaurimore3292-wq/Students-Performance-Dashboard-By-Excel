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a44c18d0c316092d/Desktop/"/>
    </mc:Choice>
  </mc:AlternateContent>
  <xr:revisionPtr revIDLastSave="3" documentId="8_{04DAE1C6-B5EB-4FED-BF28-2F0B52BCCC7A}" xr6:coauthVersionLast="47" xr6:coauthVersionMax="47" xr10:uidLastSave="{C93763B4-5F5E-4655-8CF2-71C6085D251F}"/>
  <bookViews>
    <workbookView xWindow="-108" yWindow="-108" windowWidth="23256" windowHeight="12456" activeTab="1" xr2:uid="{3FCBB439-81FE-4070-A8C1-A7C3FCF428FA}"/>
  </bookViews>
  <sheets>
    <sheet name="Backdata" sheetId="3" r:id="rId1"/>
    <sheet name="Dashboard" sheetId="4" r:id="rId2"/>
    <sheet name="Excel Dta" sheetId="1" r:id="rId3"/>
  </sheets>
  <definedNames>
    <definedName name="Slicer_Class">#N/A</definedName>
    <definedName name="Slicer_Gender">#N/A</definedName>
    <definedName name="Slicer_Grade">#N/A</definedName>
    <definedName name="Slicer_Subject">#N/A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3" l="1"/>
  <c r="F17" i="3"/>
  <c r="F14" i="3"/>
  <c r="D14" i="3"/>
  <c r="B14" i="3"/>
</calcChain>
</file>

<file path=xl/sharedStrings.xml><?xml version="1.0" encoding="utf-8"?>
<sst xmlns="http://schemas.openxmlformats.org/spreadsheetml/2006/main" count="453" uniqueCount="143">
  <si>
    <t>Student ID</t>
  </si>
  <si>
    <t>Student Name</t>
  </si>
  <si>
    <t>Gender</t>
  </si>
  <si>
    <t>Class</t>
  </si>
  <si>
    <t>Subject</t>
  </si>
  <si>
    <t>Attendance %</t>
  </si>
  <si>
    <t>Assignment</t>
  </si>
  <si>
    <t>Internal</t>
  </si>
  <si>
    <t>Practical</t>
  </si>
  <si>
    <t>Theory</t>
  </si>
  <si>
    <t>Total</t>
  </si>
  <si>
    <t>Percentage</t>
  </si>
  <si>
    <t>Grade</t>
  </si>
  <si>
    <t>Result</t>
  </si>
  <si>
    <t>S001</t>
  </si>
  <si>
    <t>Aarav</t>
  </si>
  <si>
    <t>Male</t>
  </si>
  <si>
    <t>FY BCA</t>
  </si>
  <si>
    <t>Python</t>
  </si>
  <si>
    <t>A+</t>
  </si>
  <si>
    <t>Pass</t>
  </si>
  <si>
    <t>S002</t>
  </si>
  <si>
    <t>Anaya</t>
  </si>
  <si>
    <t>Female</t>
  </si>
  <si>
    <t>A</t>
  </si>
  <si>
    <t>S003</t>
  </si>
  <si>
    <t>Rohan</t>
  </si>
  <si>
    <t>Java</t>
  </si>
  <si>
    <t>B+</t>
  </si>
  <si>
    <t>S004</t>
  </si>
  <si>
    <t>Isha</t>
  </si>
  <si>
    <t>S005</t>
  </si>
  <si>
    <t>Aditya</t>
  </si>
  <si>
    <t>SQL</t>
  </si>
  <si>
    <t>S006</t>
  </si>
  <si>
    <t>Sneha</t>
  </si>
  <si>
    <t>S007</t>
  </si>
  <si>
    <t>Om</t>
  </si>
  <si>
    <t>B</t>
  </si>
  <si>
    <t>S008</t>
  </si>
  <si>
    <t>Priya</t>
  </si>
  <si>
    <t>S009</t>
  </si>
  <si>
    <t>Yash</t>
  </si>
  <si>
    <t>S010</t>
  </si>
  <si>
    <t>Riya</t>
  </si>
  <si>
    <t>S011</t>
  </si>
  <si>
    <t>Atharva</t>
  </si>
  <si>
    <t>SY BCA</t>
  </si>
  <si>
    <t>S012</t>
  </si>
  <si>
    <t>Diya</t>
  </si>
  <si>
    <t>S013</t>
  </si>
  <si>
    <t>Rahul</t>
  </si>
  <si>
    <t>C</t>
  </si>
  <si>
    <t>S014</t>
  </si>
  <si>
    <t>Kavya</t>
  </si>
  <si>
    <t>S015</t>
  </si>
  <si>
    <t>Siddharth</t>
  </si>
  <si>
    <t>S016</t>
  </si>
  <si>
    <t>Neha</t>
  </si>
  <si>
    <t>S017</t>
  </si>
  <si>
    <t>Kunal</t>
  </si>
  <si>
    <t>S018</t>
  </si>
  <si>
    <t>Pooja</t>
  </si>
  <si>
    <t>S019</t>
  </si>
  <si>
    <t>Akash</t>
  </si>
  <si>
    <t>S020</t>
  </si>
  <si>
    <t>Meera</t>
  </si>
  <si>
    <t>S021</t>
  </si>
  <si>
    <t>Tanmay</t>
  </si>
  <si>
    <t>TY BCA</t>
  </si>
  <si>
    <t>S022</t>
  </si>
  <si>
    <t>Sakshi</t>
  </si>
  <si>
    <t>S023</t>
  </si>
  <si>
    <t>Nikhil</t>
  </si>
  <si>
    <t>S024</t>
  </si>
  <si>
    <t>Aditi</t>
  </si>
  <si>
    <t>S025</t>
  </si>
  <si>
    <t>Varun</t>
  </si>
  <si>
    <t>S026</t>
  </si>
  <si>
    <t>Shreya</t>
  </si>
  <si>
    <t>S027</t>
  </si>
  <si>
    <t>Manish</t>
  </si>
  <si>
    <t>S028</t>
  </si>
  <si>
    <t>Nandini</t>
  </si>
  <si>
    <t>S029</t>
  </si>
  <si>
    <t>Pranav</t>
  </si>
  <si>
    <t>S030</t>
  </si>
  <si>
    <t>Mitali</t>
  </si>
  <si>
    <t>S031</t>
  </si>
  <si>
    <t>Harsh</t>
  </si>
  <si>
    <t>S032</t>
  </si>
  <si>
    <t>Anjali</t>
  </si>
  <si>
    <t>S033</t>
  </si>
  <si>
    <t>Dev</t>
  </si>
  <si>
    <t>S034</t>
  </si>
  <si>
    <t>Simran</t>
  </si>
  <si>
    <t>S035</t>
  </si>
  <si>
    <t>Jay</t>
  </si>
  <si>
    <t>S036</t>
  </si>
  <si>
    <t>Rutuja</t>
  </si>
  <si>
    <t>S037</t>
  </si>
  <si>
    <t>Sagar</t>
  </si>
  <si>
    <t>S038</t>
  </si>
  <si>
    <t>Komal</t>
  </si>
  <si>
    <t>S039</t>
  </si>
  <si>
    <t>Abhishek</t>
  </si>
  <si>
    <t>S040</t>
  </si>
  <si>
    <t>Priti</t>
  </si>
  <si>
    <t>S041</t>
  </si>
  <si>
    <t>Mayur</t>
  </si>
  <si>
    <t>S042</t>
  </si>
  <si>
    <t>Shruti</t>
  </si>
  <si>
    <t>S043</t>
  </si>
  <si>
    <t>Rohit</t>
  </si>
  <si>
    <t>S044</t>
  </si>
  <si>
    <t>Vaishnavi</t>
  </si>
  <si>
    <t>S045</t>
  </si>
  <si>
    <t>Akshay</t>
  </si>
  <si>
    <t>S046</t>
  </si>
  <si>
    <t>Sanika</t>
  </si>
  <si>
    <t>S047</t>
  </si>
  <si>
    <t>Tejas</t>
  </si>
  <si>
    <t>S048</t>
  </si>
  <si>
    <t>Amruta</t>
  </si>
  <si>
    <t>S049</t>
  </si>
  <si>
    <t>Siddhi</t>
  </si>
  <si>
    <t>S050</t>
  </si>
  <si>
    <t>Ganesh</t>
  </si>
  <si>
    <t>D</t>
  </si>
  <si>
    <t>Fail</t>
  </si>
  <si>
    <t>Count of Student ID</t>
  </si>
  <si>
    <t>Row Labels</t>
  </si>
  <si>
    <t>Grand Total</t>
  </si>
  <si>
    <t>Average of Percentage</t>
  </si>
  <si>
    <t>Max of Percentage</t>
  </si>
  <si>
    <t>grade wise</t>
  </si>
  <si>
    <t>class</t>
  </si>
  <si>
    <t>total student</t>
  </si>
  <si>
    <t>average per</t>
  </si>
  <si>
    <t>high per</t>
  </si>
  <si>
    <t>Average of Attendance %</t>
  </si>
  <si>
    <t>Average Attendance</t>
  </si>
  <si>
    <t>Top Performer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</si>
</sst>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0" fontId="0" fillId="0" borderId="0" xfId="0" applyNumberFormat="1"/>
    <xf numFmtId="10" fontId="0" fillId="0" borderId="0" xfId="0" applyNumberFormat="1" applyAlignment="1">
      <alignment horizontal="righ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9" fontId="0" fillId="0" borderId="0" xfId="1" applyFont="1"/>
    <xf numFmtId="0" fontId="0" fillId="0" borderId="0" xfId="1" applyNumberFormat="1" applyFont="1"/>
    <xf numFmtId="0" fontId="0" fillId="0" borderId="0" xfId="0" applyNumberFormat="1"/>
    <xf numFmtId="2" fontId="0" fillId="0" borderId="0" xfId="1" applyNumberFormat="1" applyFont="1"/>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[Univercity.xlsx]Backdata!grade wise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Grade</a:t>
            </a:r>
            <a:r>
              <a:rPr lang="en-IN" baseline="0"/>
              <a:t>-Wise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Backdata!$L$3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Backdata!$K$4:$K$10</c:f>
              <c:strCache>
                <c:ptCount val="6"/>
                <c:pt idx="0">
                  <c:v>A</c:v>
                </c:pt>
                <c:pt idx="1">
                  <c:v>A+</c:v>
                </c:pt>
                <c:pt idx="2">
                  <c:v>B</c:v>
                </c:pt>
                <c:pt idx="3">
                  <c:v>B+</c:v>
                </c:pt>
                <c:pt idx="4">
                  <c:v>C</c:v>
                </c:pt>
                <c:pt idx="5">
                  <c:v>D</c:v>
                </c:pt>
              </c:strCache>
            </c:strRef>
          </c:cat>
          <c:val>
            <c:numRef>
              <c:f>Backdata!$L$4:$L$10</c:f>
              <c:numCache>
                <c:formatCode>General</c:formatCode>
                <c:ptCount val="6"/>
                <c:pt idx="0">
                  <c:v>12</c:v>
                </c:pt>
                <c:pt idx="1">
                  <c:v>13</c:v>
                </c:pt>
                <c:pt idx="2">
                  <c:v>9</c:v>
                </c:pt>
                <c:pt idx="3">
                  <c:v>9</c:v>
                </c:pt>
                <c:pt idx="4">
                  <c:v>6</c:v>
                </c:pt>
                <c:pt idx="5">
                  <c:v>1</c:v>
                </c:pt>
              </c:numCache>
            </c:numRef>
          </c:val>
          <c:extLst>
            <c:ext xmlns:c16="http://schemas.microsoft.com/office/drawing/2014/chart" uri="{C3380CC4-5D6E-409C-BE32-E72D297353CC}">
              <c16:uniqueId val="{00000000-A0E9-4AEE-AF69-E8EDE98473DD}"/>
            </c:ext>
          </c:extLst>
        </c:ser>
        <c:dLbls>
          <c:dLblPos val="outEnd"/>
          <c:showLegendKey val="0"/>
          <c:showVal val="1"/>
          <c:showCatName val="0"/>
          <c:showSerName val="0"/>
          <c:showPercent val="0"/>
          <c:showBubbleSize val="0"/>
        </c:dLbls>
        <c:gapWidth val="219"/>
        <c:overlap val="-27"/>
        <c:axId val="1819755503"/>
        <c:axId val="1796549295"/>
      </c:barChart>
      <c:catAx>
        <c:axId val="18197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549295"/>
        <c:crosses val="autoZero"/>
        <c:auto val="1"/>
        <c:lblAlgn val="ctr"/>
        <c:lblOffset val="100"/>
        <c:noMultiLvlLbl val="0"/>
      </c:catAx>
      <c:valAx>
        <c:axId val="179654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5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[Univercity.xlsx]Backdata!class by average per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Class-Wise</a:t>
            </a:r>
            <a:r>
              <a:rPr lang="en-IN" baseline="0"/>
              <a:t>  Average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74906801308468E-2"/>
          <c:y val="0.17532188684747738"/>
          <c:w val="0.8812267442473305"/>
          <c:h val="0.53811424613589964"/>
        </c:manualLayout>
      </c:layout>
      <c:lineChart>
        <c:grouping val="standard"/>
        <c:varyColors val="0"/>
        <c:ser>
          <c:idx val="0"/>
          <c:order val="0"/>
          <c:tx>
            <c:strRef>
              <c:f>Backdata!$B$6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Backdata!$A$7:$A$10</c:f>
              <c:strCache>
                <c:ptCount val="3"/>
                <c:pt idx="0">
                  <c:v>FY BCA</c:v>
                </c:pt>
                <c:pt idx="1">
                  <c:v>SY BCA</c:v>
                </c:pt>
                <c:pt idx="2">
                  <c:v>TY BCA</c:v>
                </c:pt>
              </c:strCache>
            </c:strRef>
          </c:cat>
          <c:val>
            <c:numRef>
              <c:f>Backdata!$B$7:$B$10</c:f>
              <c:numCache>
                <c:formatCode>0.00%</c:formatCode>
                <c:ptCount val="3"/>
                <c:pt idx="0">
                  <c:v>0.77190555555555551</c:v>
                </c:pt>
                <c:pt idx="1">
                  <c:v>0.78335333333333323</c:v>
                </c:pt>
                <c:pt idx="2">
                  <c:v>0.78237647058823523</c:v>
                </c:pt>
              </c:numCache>
            </c:numRef>
          </c:val>
          <c:smooth val="0"/>
          <c:extLst>
            <c:ext xmlns:c16="http://schemas.microsoft.com/office/drawing/2014/chart" uri="{C3380CC4-5D6E-409C-BE32-E72D297353CC}">
              <c16:uniqueId val="{00000000-4DDD-4B98-A790-C9024C3A2EE4}"/>
            </c:ext>
          </c:extLst>
        </c:ser>
        <c:dLbls>
          <c:dLblPos val="t"/>
          <c:showLegendKey val="0"/>
          <c:showVal val="1"/>
          <c:showCatName val="0"/>
          <c:showSerName val="0"/>
          <c:showPercent val="0"/>
          <c:showBubbleSize val="0"/>
        </c:dLbls>
        <c:smooth val="0"/>
        <c:axId val="1142757263"/>
        <c:axId val="1796539215"/>
      </c:lineChart>
      <c:catAx>
        <c:axId val="11427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539215"/>
        <c:crosses val="autoZero"/>
        <c:auto val="1"/>
        <c:lblAlgn val="ctr"/>
        <c:lblOffset val="100"/>
        <c:noMultiLvlLbl val="0"/>
      </c:catAx>
      <c:valAx>
        <c:axId val="17965392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[Univercity.xlsx]Backdata!average per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By  Subject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Backdata!$D$3</c:f>
              <c:strCache>
                <c:ptCount val="1"/>
                <c:pt idx="0">
                  <c:v>Total</c:v>
                </c:pt>
              </c:strCache>
            </c:strRef>
          </c:tx>
          <c:spPr>
            <a:solidFill>
              <a:schemeClr val="accent1"/>
            </a:solidFill>
            <a:ln>
              <a:noFill/>
            </a:ln>
            <a:effectLst/>
          </c:spPr>
          <c:invertIfNegative val="0"/>
          <c:cat>
            <c:strRef>
              <c:f>Backdata!$C$4:$C$7</c:f>
              <c:strCache>
                <c:ptCount val="3"/>
                <c:pt idx="0">
                  <c:v>Java</c:v>
                </c:pt>
                <c:pt idx="1">
                  <c:v>Python</c:v>
                </c:pt>
                <c:pt idx="2">
                  <c:v>SQL</c:v>
                </c:pt>
              </c:strCache>
            </c:strRef>
          </c:cat>
          <c:val>
            <c:numRef>
              <c:f>Backdata!$D$4:$D$7</c:f>
              <c:numCache>
                <c:formatCode>0.00%</c:formatCode>
                <c:ptCount val="3"/>
                <c:pt idx="0">
                  <c:v>0.81876875000000005</c:v>
                </c:pt>
                <c:pt idx="1">
                  <c:v>0.80002777777777789</c:v>
                </c:pt>
                <c:pt idx="2">
                  <c:v>0.7152624999999998</c:v>
                </c:pt>
              </c:numCache>
            </c:numRef>
          </c:val>
          <c:extLst>
            <c:ext xmlns:c16="http://schemas.microsoft.com/office/drawing/2014/chart" uri="{C3380CC4-5D6E-409C-BE32-E72D297353CC}">
              <c16:uniqueId val="{00000000-9625-4033-BBC6-8083C777DA06}"/>
            </c:ext>
          </c:extLst>
        </c:ser>
        <c:dLbls>
          <c:showLegendKey val="0"/>
          <c:showVal val="0"/>
          <c:showCatName val="0"/>
          <c:showSerName val="0"/>
          <c:showPercent val="0"/>
          <c:showBubbleSize val="0"/>
        </c:dLbls>
        <c:gapWidth val="182"/>
        <c:axId val="222016511"/>
        <c:axId val="1655668239"/>
      </c:barChart>
      <c:catAx>
        <c:axId val="22201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68239"/>
        <c:crosses val="autoZero"/>
        <c:auto val="1"/>
        <c:lblAlgn val="ctr"/>
        <c:lblOffset val="100"/>
        <c:noMultiLvlLbl val="0"/>
      </c:catAx>
      <c:valAx>
        <c:axId val="16556682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[Univercity.xlsx]Backdata!PivotTable20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Students</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s>
    <c:plotArea>
      <c:layout/>
      <c:doughnutChart>
        <c:varyColors val="1"/>
        <c:ser>
          <c:idx val="0"/>
          <c:order val="0"/>
          <c:tx>
            <c:strRef>
              <c:f>Backdata!$G$6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9ABA-4CFF-9E45-8ACF2D144581}"/>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ABA-4CFF-9E45-8ACF2D1445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Backdata!$F$7:$F$9</c:f>
              <c:strCache>
                <c:ptCount val="2"/>
                <c:pt idx="0">
                  <c:v>Female</c:v>
                </c:pt>
                <c:pt idx="1">
                  <c:v>Male</c:v>
                </c:pt>
              </c:strCache>
            </c:strRef>
          </c:cat>
          <c:val>
            <c:numRef>
              <c:f>Backdata!$G$7:$G$9</c:f>
              <c:numCache>
                <c:formatCode>General</c:formatCode>
                <c:ptCount val="2"/>
                <c:pt idx="0">
                  <c:v>25</c:v>
                </c:pt>
                <c:pt idx="1">
                  <c:v>25</c:v>
                </c:pt>
              </c:numCache>
            </c:numRef>
          </c:val>
          <c:extLst>
            <c:ext xmlns:c16="http://schemas.microsoft.com/office/drawing/2014/chart" uri="{C3380CC4-5D6E-409C-BE32-E72D297353CC}">
              <c16:uniqueId val="{00000000-03E9-4CCF-9E00-5B72CF8F471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[Univercity.xlsx]Backdata!grade wise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Grade</a:t>
            </a:r>
            <a:r>
              <a:rPr lang="en-IN" baseline="0"/>
              <a:t>-Wise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Backdata!$L$3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Backdata!$K$4:$K$10</c:f>
              <c:strCache>
                <c:ptCount val="6"/>
                <c:pt idx="0">
                  <c:v>A</c:v>
                </c:pt>
                <c:pt idx="1">
                  <c:v>A+</c:v>
                </c:pt>
                <c:pt idx="2">
                  <c:v>B</c:v>
                </c:pt>
                <c:pt idx="3">
                  <c:v>B+</c:v>
                </c:pt>
                <c:pt idx="4">
                  <c:v>C</c:v>
                </c:pt>
                <c:pt idx="5">
                  <c:v>D</c:v>
                </c:pt>
              </c:strCache>
            </c:strRef>
          </c:cat>
          <c:val>
            <c:numRef>
              <c:f>Backdata!$L$4:$L$10</c:f>
              <c:numCache>
                <c:formatCode>General</c:formatCode>
                <c:ptCount val="6"/>
                <c:pt idx="0">
                  <c:v>12</c:v>
                </c:pt>
                <c:pt idx="1">
                  <c:v>13</c:v>
                </c:pt>
                <c:pt idx="2">
                  <c:v>9</c:v>
                </c:pt>
                <c:pt idx="3">
                  <c:v>9</c:v>
                </c:pt>
                <c:pt idx="4">
                  <c:v>6</c:v>
                </c:pt>
                <c:pt idx="5">
                  <c:v>1</c:v>
                </c:pt>
              </c:numCache>
            </c:numRef>
          </c:val>
          <c:extLst>
            <c:ext xmlns:c16="http://schemas.microsoft.com/office/drawing/2014/chart" uri="{C3380CC4-5D6E-409C-BE32-E72D297353CC}">
              <c16:uniqueId val="{00000000-30A2-4006-B5B8-C9B3CBE4607E}"/>
            </c:ext>
          </c:extLst>
        </c:ser>
        <c:dLbls>
          <c:dLblPos val="outEnd"/>
          <c:showLegendKey val="0"/>
          <c:showVal val="1"/>
          <c:showCatName val="0"/>
          <c:showSerName val="0"/>
          <c:showPercent val="0"/>
          <c:showBubbleSize val="0"/>
        </c:dLbls>
        <c:gapWidth val="219"/>
        <c:overlap val="-27"/>
        <c:axId val="1819755503"/>
        <c:axId val="1796549295"/>
      </c:barChart>
      <c:catAx>
        <c:axId val="18197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549295"/>
        <c:crosses val="autoZero"/>
        <c:auto val="1"/>
        <c:lblAlgn val="ctr"/>
        <c:lblOffset val="100"/>
        <c:noMultiLvlLbl val="0"/>
      </c:catAx>
      <c:valAx>
        <c:axId val="179654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5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[Univercity.xlsx]Backdata!class by average per</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Class-Wise</a:t>
            </a:r>
            <a:r>
              <a:rPr lang="en-IN" baseline="0"/>
              <a:t>  Average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61935946125543E-2"/>
          <c:y val="0.25402559055118112"/>
          <c:w val="0.87450689950884852"/>
          <c:h val="0.53811424613589964"/>
        </c:manualLayout>
      </c:layout>
      <c:lineChart>
        <c:grouping val="standard"/>
        <c:varyColors val="0"/>
        <c:ser>
          <c:idx val="0"/>
          <c:order val="0"/>
          <c:tx>
            <c:strRef>
              <c:f>Backdata!$B$6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Backdata!$A$7:$A$10</c:f>
              <c:strCache>
                <c:ptCount val="3"/>
                <c:pt idx="0">
                  <c:v>FY BCA</c:v>
                </c:pt>
                <c:pt idx="1">
                  <c:v>SY BCA</c:v>
                </c:pt>
                <c:pt idx="2">
                  <c:v>TY BCA</c:v>
                </c:pt>
              </c:strCache>
            </c:strRef>
          </c:cat>
          <c:val>
            <c:numRef>
              <c:f>Backdata!$B$7:$B$10</c:f>
              <c:numCache>
                <c:formatCode>0.00%</c:formatCode>
                <c:ptCount val="3"/>
                <c:pt idx="0">
                  <c:v>0.77190555555555551</c:v>
                </c:pt>
                <c:pt idx="1">
                  <c:v>0.78335333333333323</c:v>
                </c:pt>
                <c:pt idx="2">
                  <c:v>0.78237647058823523</c:v>
                </c:pt>
              </c:numCache>
            </c:numRef>
          </c:val>
          <c:smooth val="0"/>
          <c:extLst>
            <c:ext xmlns:c16="http://schemas.microsoft.com/office/drawing/2014/chart" uri="{C3380CC4-5D6E-409C-BE32-E72D297353CC}">
              <c16:uniqueId val="{00000000-91B5-44BC-962F-F19B55909936}"/>
            </c:ext>
          </c:extLst>
        </c:ser>
        <c:dLbls>
          <c:dLblPos val="t"/>
          <c:showLegendKey val="0"/>
          <c:showVal val="1"/>
          <c:showCatName val="0"/>
          <c:showSerName val="0"/>
          <c:showPercent val="0"/>
          <c:showBubbleSize val="0"/>
        </c:dLbls>
        <c:smooth val="0"/>
        <c:axId val="1142757263"/>
        <c:axId val="1796539215"/>
      </c:lineChart>
      <c:catAx>
        <c:axId val="11427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539215"/>
        <c:crosses val="autoZero"/>
        <c:auto val="1"/>
        <c:lblAlgn val="ctr"/>
        <c:lblOffset val="100"/>
        <c:noMultiLvlLbl val="0"/>
      </c:catAx>
      <c:valAx>
        <c:axId val="17965392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[Univercity.xlsx]Backdata!average per</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By  Subject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Backdata!$D$3</c:f>
              <c:strCache>
                <c:ptCount val="1"/>
                <c:pt idx="0">
                  <c:v>Total</c:v>
                </c:pt>
              </c:strCache>
            </c:strRef>
          </c:tx>
          <c:spPr>
            <a:solidFill>
              <a:schemeClr val="accent1"/>
            </a:solidFill>
            <a:ln>
              <a:noFill/>
            </a:ln>
            <a:effectLst/>
          </c:spPr>
          <c:invertIfNegative val="0"/>
          <c:cat>
            <c:strRef>
              <c:f>Backdata!$C$4:$C$7</c:f>
              <c:strCache>
                <c:ptCount val="3"/>
                <c:pt idx="0">
                  <c:v>Java</c:v>
                </c:pt>
                <c:pt idx="1">
                  <c:v>Python</c:v>
                </c:pt>
                <c:pt idx="2">
                  <c:v>SQL</c:v>
                </c:pt>
              </c:strCache>
            </c:strRef>
          </c:cat>
          <c:val>
            <c:numRef>
              <c:f>Backdata!$D$4:$D$7</c:f>
              <c:numCache>
                <c:formatCode>0.00%</c:formatCode>
                <c:ptCount val="3"/>
                <c:pt idx="0">
                  <c:v>0.81876875000000005</c:v>
                </c:pt>
                <c:pt idx="1">
                  <c:v>0.80002777777777789</c:v>
                </c:pt>
                <c:pt idx="2">
                  <c:v>0.7152624999999998</c:v>
                </c:pt>
              </c:numCache>
            </c:numRef>
          </c:val>
          <c:extLst>
            <c:ext xmlns:c16="http://schemas.microsoft.com/office/drawing/2014/chart" uri="{C3380CC4-5D6E-409C-BE32-E72D297353CC}">
              <c16:uniqueId val="{00000000-FD01-4F08-9510-A810C8EB29F5}"/>
            </c:ext>
          </c:extLst>
        </c:ser>
        <c:dLbls>
          <c:showLegendKey val="0"/>
          <c:showVal val="0"/>
          <c:showCatName val="0"/>
          <c:showSerName val="0"/>
          <c:showPercent val="0"/>
          <c:showBubbleSize val="0"/>
        </c:dLbls>
        <c:gapWidth val="182"/>
        <c:axId val="222016511"/>
        <c:axId val="1655668239"/>
      </c:barChart>
      <c:catAx>
        <c:axId val="22201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68239"/>
        <c:crosses val="autoZero"/>
        <c:auto val="1"/>
        <c:lblAlgn val="ctr"/>
        <c:lblOffset val="100"/>
        <c:noMultiLvlLbl val="0"/>
      </c:catAx>
      <c:valAx>
        <c:axId val="16556682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[Univercity.xlsx]Backdata!PivotTable20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Students</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pivotFmt>
      <c:pivotFmt>
        <c:idx val="3"/>
        <c:spPr>
          <a:solidFill>
            <a:schemeClr val="accent5">
              <a:tint val="77000"/>
            </a:schemeClr>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s>
    <c:plotArea>
      <c:layout/>
      <c:doughnutChart>
        <c:varyColors val="1"/>
        <c:ser>
          <c:idx val="0"/>
          <c:order val="0"/>
          <c:tx>
            <c:strRef>
              <c:f>Backdata!$G$6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FCBD-4D71-8F62-DF52C31A798B}"/>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FCBD-4D71-8F62-DF52C31A79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Backdata!$F$7:$F$9</c:f>
              <c:strCache>
                <c:ptCount val="2"/>
                <c:pt idx="0">
                  <c:v>Female</c:v>
                </c:pt>
                <c:pt idx="1">
                  <c:v>Male</c:v>
                </c:pt>
              </c:strCache>
            </c:strRef>
          </c:cat>
          <c:val>
            <c:numRef>
              <c:f>Backdata!$G$7:$G$9</c:f>
              <c:numCache>
                <c:formatCode>General</c:formatCode>
                <c:ptCount val="2"/>
                <c:pt idx="0">
                  <c:v>25</c:v>
                </c:pt>
                <c:pt idx="1">
                  <c:v>25</c:v>
                </c:pt>
              </c:numCache>
            </c:numRef>
          </c:val>
          <c:extLst>
            <c:ext xmlns:c16="http://schemas.microsoft.com/office/drawing/2014/chart" uri="{C3380CC4-5D6E-409C-BE32-E72D297353CC}">
              <c16:uniqueId val="{00000004-FCBD-4D71-8F62-DF52C31A79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[Univercity.xlsx]Backdata!grade wise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Grade</a:t>
            </a:r>
            <a:r>
              <a:rPr lang="en-IN" baseline="0"/>
              <a:t>-Wise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Backdata!$L$3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Backdata!$K$4:$K$10</c:f>
              <c:strCache>
                <c:ptCount val="6"/>
                <c:pt idx="0">
                  <c:v>A</c:v>
                </c:pt>
                <c:pt idx="1">
                  <c:v>A+</c:v>
                </c:pt>
                <c:pt idx="2">
                  <c:v>B</c:v>
                </c:pt>
                <c:pt idx="3">
                  <c:v>B+</c:v>
                </c:pt>
                <c:pt idx="4">
                  <c:v>C</c:v>
                </c:pt>
                <c:pt idx="5">
                  <c:v>D</c:v>
                </c:pt>
              </c:strCache>
            </c:strRef>
          </c:cat>
          <c:val>
            <c:numRef>
              <c:f>Backdata!$L$4:$L$10</c:f>
              <c:numCache>
                <c:formatCode>General</c:formatCode>
                <c:ptCount val="6"/>
                <c:pt idx="0">
                  <c:v>12</c:v>
                </c:pt>
                <c:pt idx="1">
                  <c:v>13</c:v>
                </c:pt>
                <c:pt idx="2">
                  <c:v>9</c:v>
                </c:pt>
                <c:pt idx="3">
                  <c:v>9</c:v>
                </c:pt>
                <c:pt idx="4">
                  <c:v>6</c:v>
                </c:pt>
                <c:pt idx="5">
                  <c:v>1</c:v>
                </c:pt>
              </c:numCache>
            </c:numRef>
          </c:val>
          <c:extLst>
            <c:ext xmlns:c16="http://schemas.microsoft.com/office/drawing/2014/chart" uri="{C3380CC4-5D6E-409C-BE32-E72D297353CC}">
              <c16:uniqueId val="{00000000-30A2-4006-B5B8-C9B3CBE4607E}"/>
            </c:ext>
          </c:extLst>
        </c:ser>
        <c:dLbls>
          <c:dLblPos val="outEnd"/>
          <c:showLegendKey val="0"/>
          <c:showVal val="1"/>
          <c:showCatName val="0"/>
          <c:showSerName val="0"/>
          <c:showPercent val="0"/>
          <c:showBubbleSize val="0"/>
        </c:dLbls>
        <c:gapWidth val="219"/>
        <c:overlap val="-27"/>
        <c:axId val="1819755503"/>
        <c:axId val="1796549295"/>
      </c:barChart>
      <c:catAx>
        <c:axId val="18197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549295"/>
        <c:crosses val="autoZero"/>
        <c:auto val="1"/>
        <c:lblAlgn val="ctr"/>
        <c:lblOffset val="100"/>
        <c:noMultiLvlLbl val="0"/>
      </c:catAx>
      <c:valAx>
        <c:axId val="179654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5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D101B95-B051-443C-9350-F2C4817BE8A4}" type="doc">
      <dgm:prSet loTypeId="urn:microsoft.com/office/officeart/2005/8/layout/pList1" loCatId="list" qsTypeId="urn:microsoft.com/office/officeart/2005/8/quickstyle/simple1" qsCatId="simple" csTypeId="urn:microsoft.com/office/officeart/2005/8/colors/accent1_2" csCatId="accent1" phldr="1"/>
      <dgm:spPr/>
    </dgm:pt>
    <dgm:pt modelId="{82BF31E3-FB8E-4EEA-B57B-96F39228D20C}">
      <dgm:prSet phldrT="[Text]"/>
      <dgm:spPr/>
      <dgm:t>
        <a:bodyPr/>
        <a:lstStyle/>
        <a:p>
          <a:endParaRPr lang="en-IN"/>
        </a:p>
      </dgm:t>
    </dgm:pt>
    <dgm:pt modelId="{614D7A99-BA49-4878-9AB2-F50C6C341A9F}" type="parTrans" cxnId="{D577D632-88EC-4860-B6F5-ECDF00A03172}">
      <dgm:prSet/>
      <dgm:spPr/>
      <dgm:t>
        <a:bodyPr/>
        <a:lstStyle/>
        <a:p>
          <a:endParaRPr lang="en-IN"/>
        </a:p>
      </dgm:t>
    </dgm:pt>
    <dgm:pt modelId="{48497B43-9598-4033-8B25-6511983A4382}" type="sibTrans" cxnId="{D577D632-88EC-4860-B6F5-ECDF00A03172}">
      <dgm:prSet/>
      <dgm:spPr/>
      <dgm:t>
        <a:bodyPr/>
        <a:lstStyle/>
        <a:p>
          <a:endParaRPr lang="en-IN"/>
        </a:p>
      </dgm:t>
    </dgm:pt>
    <dgm:pt modelId="{C97D1826-A5D3-458A-AC25-2170A87F8194}" type="pres">
      <dgm:prSet presAssocID="{DD101B95-B051-443C-9350-F2C4817BE8A4}" presName="Name0" presStyleCnt="0">
        <dgm:presLayoutVars>
          <dgm:dir/>
          <dgm:resizeHandles val="exact"/>
        </dgm:presLayoutVars>
      </dgm:prSet>
      <dgm:spPr/>
    </dgm:pt>
    <dgm:pt modelId="{27AEF4B9-67A7-45AF-9147-FB3FB388D392}" type="pres">
      <dgm:prSet presAssocID="{82BF31E3-FB8E-4EEA-B57B-96F39228D20C}" presName="compNode" presStyleCnt="0"/>
      <dgm:spPr/>
    </dgm:pt>
    <dgm:pt modelId="{C4A6308F-BFA9-495F-B153-D768A109EFAB}" type="pres">
      <dgm:prSet presAssocID="{82BF31E3-FB8E-4EEA-B57B-96F39228D20C}" presName="pictRect" presStyleLbl="node1" presStyleIdx="0" presStyleCnt="1"/>
      <dgm:spPr/>
    </dgm:pt>
    <dgm:pt modelId="{8A179C90-D203-4635-B1FB-1461E30C317A}" type="pres">
      <dgm:prSet presAssocID="{82BF31E3-FB8E-4EEA-B57B-96F39228D20C}" presName="textRect" presStyleLbl="revTx" presStyleIdx="0" presStyleCnt="1" custScaleX="65245" custScaleY="179347">
        <dgm:presLayoutVars>
          <dgm:bulletEnabled val="1"/>
        </dgm:presLayoutVars>
      </dgm:prSet>
      <dgm:spPr/>
    </dgm:pt>
  </dgm:ptLst>
  <dgm:cxnLst>
    <dgm:cxn modelId="{D577D632-88EC-4860-B6F5-ECDF00A03172}" srcId="{DD101B95-B051-443C-9350-F2C4817BE8A4}" destId="{82BF31E3-FB8E-4EEA-B57B-96F39228D20C}" srcOrd="0" destOrd="0" parTransId="{614D7A99-BA49-4878-9AB2-F50C6C341A9F}" sibTransId="{48497B43-9598-4033-8B25-6511983A4382}"/>
    <dgm:cxn modelId="{6E8DC485-A9E4-48AD-B4C6-78E5BF25A86E}" type="presOf" srcId="{DD101B95-B051-443C-9350-F2C4817BE8A4}" destId="{C97D1826-A5D3-458A-AC25-2170A87F8194}" srcOrd="0" destOrd="0" presId="urn:microsoft.com/office/officeart/2005/8/layout/pList1"/>
    <dgm:cxn modelId="{B6EA4BCD-4E45-456A-A588-1188B5196EDE}" type="presOf" srcId="{82BF31E3-FB8E-4EEA-B57B-96F39228D20C}" destId="{8A179C90-D203-4635-B1FB-1461E30C317A}" srcOrd="0" destOrd="0" presId="urn:microsoft.com/office/officeart/2005/8/layout/pList1"/>
    <dgm:cxn modelId="{B3A43ED8-C5F9-4B40-AFE5-1D1E2428E02A}" type="presParOf" srcId="{C97D1826-A5D3-458A-AC25-2170A87F8194}" destId="{27AEF4B9-67A7-45AF-9147-FB3FB388D392}" srcOrd="0" destOrd="0" presId="urn:microsoft.com/office/officeart/2005/8/layout/pList1"/>
    <dgm:cxn modelId="{EA8714E7-8F96-45BD-A5DA-A2492D5B8834}" type="presParOf" srcId="{27AEF4B9-67A7-45AF-9147-FB3FB388D392}" destId="{C4A6308F-BFA9-495F-B153-D768A109EFAB}" srcOrd="0" destOrd="0" presId="urn:microsoft.com/office/officeart/2005/8/layout/pList1"/>
    <dgm:cxn modelId="{298CD956-5BC4-4137-B291-3BCBFF3EC82F}" type="presParOf" srcId="{27AEF4B9-67A7-45AF-9147-FB3FB388D392}" destId="{8A179C90-D203-4635-B1FB-1461E30C317A}" srcOrd="1" destOrd="0" presId="urn:microsoft.com/office/officeart/2005/8/layout/pList1"/>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4A6308F-BFA9-495F-B153-D768A109EFAB}">
      <dsp:nvSpPr>
        <dsp:cNvPr id="0" name=""/>
        <dsp:cNvSpPr/>
      </dsp:nvSpPr>
      <dsp:spPr>
        <a:xfrm>
          <a:off x="257" y="56099"/>
          <a:ext cx="1226304" cy="84492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8A179C90-D203-4635-B1FB-1461E30C317A}">
      <dsp:nvSpPr>
        <dsp:cNvPr id="0" name=""/>
        <dsp:cNvSpPr/>
      </dsp:nvSpPr>
      <dsp:spPr>
        <a:xfrm>
          <a:off x="213358" y="720525"/>
          <a:ext cx="800102" cy="8159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70256" tIns="270256" rIns="270256" bIns="0" numCol="1" spcCol="1270" anchor="t" anchorCtr="0">
          <a:noAutofit/>
        </a:bodyPr>
        <a:lstStyle/>
        <a:p>
          <a:pPr marL="0" lvl="0" indent="0" algn="ctr" defTabSz="1689100">
            <a:lnSpc>
              <a:spcPct val="90000"/>
            </a:lnSpc>
            <a:spcBef>
              <a:spcPct val="0"/>
            </a:spcBef>
            <a:spcAft>
              <a:spcPct val="35000"/>
            </a:spcAft>
            <a:buNone/>
          </a:pPr>
          <a:endParaRPr lang="en-IN" sz="3800" kern="1200"/>
        </a:p>
      </dsp:txBody>
      <dsp:txXfrm>
        <a:off x="213358" y="720525"/>
        <a:ext cx="800102" cy="815955"/>
      </dsp:txXfrm>
    </dsp:sp>
  </dsp:spTree>
</dsp:drawing>
</file>

<file path=xl/diagrams/layout1.xml><?xml version="1.0" encoding="utf-8"?>
<dgm:layoutDef xmlns:dgm="http://schemas.openxmlformats.org/drawingml/2006/diagram" xmlns:a="http://schemas.openxmlformats.org/drawingml/2006/main" uniqueId="urn:microsoft.com/office/officeart/2005/8/layout/pList1">
  <dgm:title val=""/>
  <dgm:desc val=""/>
  <dgm:catLst>
    <dgm:cat type="list" pri="2000"/>
    <dgm:cat type="picture" pri="2500"/>
    <dgm:cat type="pictureconvert" pri="2500"/>
  </dgm:catLst>
  <dgm:sampData>
    <dgm:dataModel>
      <dgm:ptLst>
        <dgm:pt modelId="0" type="doc"/>
        <dgm:pt modelId="1">
          <dgm:prSet phldr="1"/>
        </dgm:pt>
        <dgm:pt modelId="2">
          <dgm:prSet phldr="1"/>
        </dgm:pt>
        <dgm:pt modelId="3">
          <dgm:prSet phldr="1"/>
        </dgm:pt>
        <dgm:pt modelId="4">
          <dgm:prSet phldr="1"/>
        </dgm:pt>
      </dgm:ptLst>
      <dgm:cxnLst>
        <dgm:cxn modelId="7" srcId="0" destId="1" srcOrd="0" destOrd="0"/>
        <dgm:cxn modelId="8" srcId="0" destId="2" srcOrd="1" destOrd="0"/>
        <dgm:cxn modelId="9" srcId="0" destId="3" srcOrd="2" destOrd="0"/>
        <dgm:cxn modelId="10" srcId="0" destId="4" srcOrd="3"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useDef="1">
    <dgm:dataModel>
      <dgm:pt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off" val="ctr"/>
          <dgm:param type="vertAlign" val="mid"/>
          <dgm:param type="horzAlign" val="ctr"/>
        </dgm:alg>
      </dgm:if>
      <dgm:else name="Name3">
        <dgm:alg type="snake">
          <dgm:param type="grDir" val="tR"/>
          <dgm:param type="flowDir" val="row"/>
          <dgm:param type="contDir" val="sameDir"/>
          <dgm:param type="off" val="ctr"/>
          <dgm:param type="vertAlign" val="mid"/>
          <dgm:param type="horzAlign" val="ctr"/>
        </dgm:alg>
      </dgm:else>
    </dgm:choose>
    <dgm:shape xmlns:r="http://schemas.openxmlformats.org/officeDocument/2006/relationships" r:blip="">
      <dgm:adjLst/>
    </dgm:shape>
    <dgm:presOf/>
    <dgm:constrLst>
      <dgm:constr type="w" for="ch" forName="compNode" refType="w"/>
      <dgm:constr type="w" for="ch" ptType="sibTrans" refType="w" refFor="ch" refForName="compNode" op="equ" fact="0.1"/>
      <dgm:constr type="sp" refType="w" refFor="ch" refForName="compNode" op="equ" fact="0.1"/>
      <dgm:constr type="primFontSz" for="des" ptType="node" op="equ" val="65"/>
    </dgm:constrLst>
    <dgm:ruleLst/>
    <dgm:forEach name="Name4" axis="ch" ptType="node">
      <dgm:layoutNode name="compNode">
        <dgm:alg type="composite">
          <dgm:param type="ar" val="0.943"/>
        </dgm:alg>
        <dgm:shape xmlns:r="http://schemas.openxmlformats.org/officeDocument/2006/relationships" r:blip="">
          <dgm:adjLst/>
        </dgm:shape>
        <dgm:presOf axis="self"/>
        <dgm:constrLst>
          <dgm:constr type="h" refType="w" fact="1.06"/>
          <dgm:constr type="h" for="ch" forName="pictRect" refType="h" fact="0.65"/>
          <dgm:constr type="w" for="ch" forName="pictRect" refType="w"/>
          <dgm:constr type="l" for="ch" forName="pictRect"/>
          <dgm:constr type="t" for="ch" forName="pictRect"/>
          <dgm:constr type="w" for="ch" forName="textRect" refType="w"/>
          <dgm:constr type="h" for="ch" forName="textRect" refType="h" fact="0.35"/>
          <dgm:constr type="l" for="ch" forName="textRect"/>
          <dgm:constr type="t" for="ch" forName="textRect" refType="b" refFor="ch" refForName="pictRect"/>
        </dgm:constrLst>
        <dgm:ruleLst/>
        <dgm:layoutNode name="pictRect">
          <dgm:alg type="sp"/>
          <dgm:shape xmlns:r="http://schemas.openxmlformats.org/officeDocument/2006/relationships" type="roundRect" r:blip="" blipPhldr="1">
            <dgm:adjLst/>
          </dgm:shape>
          <dgm:presOf/>
          <dgm:constrLst/>
          <dgm:ruleLst/>
        </dgm:layoutNode>
        <dgm:layoutNode name="textRect" styleLbl="revTx">
          <dgm:varLst>
            <dgm:bulletEnabled val="1"/>
          </dgm:varLst>
          <dgm:alg type="tx">
            <dgm:param type="txAnchorVert" val="t"/>
          </dgm:alg>
          <dgm:shape xmlns:r="http://schemas.openxmlformats.org/officeDocument/2006/relationships" type="rect" r:blip="">
            <dgm:adjLst/>
          </dgm:shape>
          <dgm:presOf axis="desOrSelf" ptType="node"/>
          <dgm:constrLst>
            <dgm:constr type="bMarg"/>
          </dgm:constrLst>
          <dgm:ruleLst>
            <dgm:rule type="primFontSz" val="5" fact="NaN" max="NaN"/>
          </dgm:ruleLst>
        </dgm:layoutNode>
      </dgm:layoutNode>
      <dgm:forEach name="Name5" axis="followSib" ptType="sibTrans" cnt="1">
        <dgm:layoutNode name="sibTrans">
          <dgm:alg type="sp"/>
          <dgm:shape xmlns:r="http://schemas.openxmlformats.org/officeDocument/2006/relationships" type="rect" r:blip="" hideGeom="1">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diagramLayout" Target="../diagrams/layout1.xml"/><Relationship Id="rId13" Type="http://schemas.openxmlformats.org/officeDocument/2006/relationships/image" Target="../media/image2.jpeg"/><Relationship Id="rId3" Type="http://schemas.openxmlformats.org/officeDocument/2006/relationships/chart" Target="../charts/chart7.xml"/><Relationship Id="rId7" Type="http://schemas.openxmlformats.org/officeDocument/2006/relationships/diagramData" Target="../diagrams/data1.xml"/><Relationship Id="rId12" Type="http://schemas.openxmlformats.org/officeDocument/2006/relationships/hyperlink" Target="#Sheet2!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jpeg"/><Relationship Id="rId11" Type="http://schemas.microsoft.com/office/2007/relationships/diagramDrawing" Target="../diagrams/drawing1.xml"/><Relationship Id="rId5" Type="http://schemas.openxmlformats.org/officeDocument/2006/relationships/hyperlink" Target="#Sheet1!A1"/><Relationship Id="rId15" Type="http://schemas.openxmlformats.org/officeDocument/2006/relationships/chart" Target="../charts/chart9.xml"/><Relationship Id="rId10" Type="http://schemas.openxmlformats.org/officeDocument/2006/relationships/diagramColors" Target="../diagrams/colors1.xml"/><Relationship Id="rId4" Type="http://schemas.openxmlformats.org/officeDocument/2006/relationships/chart" Target="../charts/chart8.xml"/><Relationship Id="rId9" Type="http://schemas.openxmlformats.org/officeDocument/2006/relationships/diagramQuickStyle" Target="../diagrams/quickStyle1.xml"/><Relationship Id="rId1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15</xdr:col>
      <xdr:colOff>502920</xdr:colOff>
      <xdr:row>1</xdr:row>
      <xdr:rowOff>15241</xdr:rowOff>
    </xdr:from>
    <xdr:to>
      <xdr:col>18</xdr:col>
      <xdr:colOff>502920</xdr:colOff>
      <xdr:row>12</xdr:row>
      <xdr:rowOff>38101</xdr:rowOff>
    </xdr:to>
    <mc:AlternateContent xmlns:mc="http://schemas.openxmlformats.org/markup-compatibility/2006" xmlns:a14="http://schemas.microsoft.com/office/drawing/2010/main">
      <mc:Choice Requires="a14">
        <xdr:graphicFrame macro="">
          <xdr:nvGraphicFramePr>
            <xdr:cNvPr id="2" name="Class">
              <a:extLst>
                <a:ext uri="{FF2B5EF4-FFF2-40B4-BE49-F238E27FC236}">
                  <a16:creationId xmlns:a16="http://schemas.microsoft.com/office/drawing/2014/main" id="{CC0D3CE0-EEC3-4FAB-F1F5-6AD458835042}"/>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4188440" y="198121"/>
              <a:ext cx="182880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525780</xdr:colOff>
      <xdr:row>13</xdr:row>
      <xdr:rowOff>30481</xdr:rowOff>
    </xdr:from>
    <xdr:to>
      <xdr:col>18</xdr:col>
      <xdr:colOff>525780</xdr:colOff>
      <xdr:row>21</xdr:row>
      <xdr:rowOff>76201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1FEBA69-A62A-4B20-517F-6F163323DA3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211300" y="240792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335280</xdr:colOff>
      <xdr:row>13</xdr:row>
      <xdr:rowOff>68581</xdr:rowOff>
    </xdr:from>
    <xdr:to>
      <xdr:col>15</xdr:col>
      <xdr:colOff>335280</xdr:colOff>
      <xdr:row>25</xdr:row>
      <xdr:rowOff>15241</xdr:rowOff>
    </xdr:to>
    <mc:AlternateContent xmlns:mc="http://schemas.openxmlformats.org/markup-compatibility/2006" xmlns:a14="http://schemas.microsoft.com/office/drawing/2010/main">
      <mc:Choice Requires="a14">
        <xdr:graphicFrame macro="">
          <xdr:nvGraphicFramePr>
            <xdr:cNvPr id="4" name="Subject">
              <a:extLst>
                <a:ext uri="{FF2B5EF4-FFF2-40B4-BE49-F238E27FC236}">
                  <a16:creationId xmlns:a16="http://schemas.microsoft.com/office/drawing/2014/main" id="{01A5E965-5C85-4E0F-431E-2A873A51392B}"/>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2192000" y="244602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xdr:row>
      <xdr:rowOff>7621</xdr:rowOff>
    </xdr:from>
    <xdr:to>
      <xdr:col>15</xdr:col>
      <xdr:colOff>304800</xdr:colOff>
      <xdr:row>12</xdr:row>
      <xdr:rowOff>106681</xdr:rowOff>
    </xdr:to>
    <mc:AlternateContent xmlns:mc="http://schemas.openxmlformats.org/markup-compatibility/2006" xmlns:a14="http://schemas.microsoft.com/office/drawing/2010/main">
      <mc:Choice Requires="a14">
        <xdr:graphicFrame macro="">
          <xdr:nvGraphicFramePr>
            <xdr:cNvPr id="5" name="Grade">
              <a:extLst>
                <a:ext uri="{FF2B5EF4-FFF2-40B4-BE49-F238E27FC236}">
                  <a16:creationId xmlns:a16="http://schemas.microsoft.com/office/drawing/2014/main" id="{98B91F2A-D3F5-6C0D-E018-44794AB81DCD}"/>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2161520" y="19050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49530</xdr:rowOff>
    </xdr:from>
    <xdr:to>
      <xdr:col>4</xdr:col>
      <xdr:colOff>213360</xdr:colOff>
      <xdr:row>30</xdr:row>
      <xdr:rowOff>49530</xdr:rowOff>
    </xdr:to>
    <xdr:graphicFrame macro="">
      <xdr:nvGraphicFramePr>
        <xdr:cNvPr id="10" name="Chart 9">
          <a:extLst>
            <a:ext uri="{FF2B5EF4-FFF2-40B4-BE49-F238E27FC236}">
              <a16:creationId xmlns:a16="http://schemas.microsoft.com/office/drawing/2014/main" id="{A74601C5-D236-FEE8-E5CF-219DBCA21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746760</xdr:colOff>
      <xdr:row>64</xdr:row>
      <xdr:rowOff>64770</xdr:rowOff>
    </xdr:from>
    <xdr:to>
      <xdr:col>6</xdr:col>
      <xdr:colOff>617220</xdr:colOff>
      <xdr:row>79</xdr:row>
      <xdr:rowOff>64770</xdr:rowOff>
    </xdr:to>
    <xdr:graphicFrame macro="">
      <xdr:nvGraphicFramePr>
        <xdr:cNvPr id="13" name="Chart 12">
          <a:extLst>
            <a:ext uri="{FF2B5EF4-FFF2-40B4-BE49-F238E27FC236}">
              <a16:creationId xmlns:a16="http://schemas.microsoft.com/office/drawing/2014/main" id="{820C978C-61A9-5EB8-5E99-2EFE6D068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30</xdr:row>
      <xdr:rowOff>179070</xdr:rowOff>
    </xdr:from>
    <xdr:to>
      <xdr:col>4</xdr:col>
      <xdr:colOff>259080</xdr:colOff>
      <xdr:row>45</xdr:row>
      <xdr:rowOff>179070</xdr:rowOff>
    </xdr:to>
    <xdr:graphicFrame macro="">
      <xdr:nvGraphicFramePr>
        <xdr:cNvPr id="14" name="Chart 13">
          <a:extLst>
            <a:ext uri="{FF2B5EF4-FFF2-40B4-BE49-F238E27FC236}">
              <a16:creationId xmlns:a16="http://schemas.microsoft.com/office/drawing/2014/main" id="{6CBE6083-2F08-E4F3-EE0C-E8B67D2DB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411480</xdr:colOff>
      <xdr:row>48</xdr:row>
      <xdr:rowOff>163830</xdr:rowOff>
    </xdr:from>
    <xdr:to>
      <xdr:col>5</xdr:col>
      <xdr:colOff>281940</xdr:colOff>
      <xdr:row>63</xdr:row>
      <xdr:rowOff>163830</xdr:rowOff>
    </xdr:to>
    <xdr:graphicFrame macro="">
      <xdr:nvGraphicFramePr>
        <xdr:cNvPr id="15" name="Chart 14">
          <a:extLst>
            <a:ext uri="{FF2B5EF4-FFF2-40B4-BE49-F238E27FC236}">
              <a16:creationId xmlns:a16="http://schemas.microsoft.com/office/drawing/2014/main" id="{77FBC9A1-1DFB-9F29-EE40-862C1EB22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228600</xdr:colOff>
      <xdr:row>4</xdr:row>
      <xdr:rowOff>0</xdr:rowOff>
    </xdr:to>
    <xdr:sp macro="" textlink="">
      <xdr:nvSpPr>
        <xdr:cNvPr id="2" name="Rectangle 1">
          <a:extLst>
            <a:ext uri="{FF2B5EF4-FFF2-40B4-BE49-F238E27FC236}">
              <a16:creationId xmlns:a16="http://schemas.microsoft.com/office/drawing/2014/main" id="{94C3A639-9B65-0D34-4072-CC7DE1C055F9}"/>
            </a:ext>
          </a:extLst>
        </xdr:cNvPr>
        <xdr:cNvSpPr/>
      </xdr:nvSpPr>
      <xdr:spPr>
        <a:xfrm>
          <a:off x="0" y="0"/>
          <a:ext cx="14249400" cy="73152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4</xdr:row>
      <xdr:rowOff>22860</xdr:rowOff>
    </xdr:from>
    <xdr:to>
      <xdr:col>2</xdr:col>
      <xdr:colOff>426720</xdr:colOff>
      <xdr:row>40</xdr:row>
      <xdr:rowOff>0</xdr:rowOff>
    </xdr:to>
    <xdr:sp macro="" textlink="">
      <xdr:nvSpPr>
        <xdr:cNvPr id="3" name="Rectangle 2">
          <a:extLst>
            <a:ext uri="{FF2B5EF4-FFF2-40B4-BE49-F238E27FC236}">
              <a16:creationId xmlns:a16="http://schemas.microsoft.com/office/drawing/2014/main" id="{A79F5C3D-0F27-A945-BBA8-5CC8194837A6}"/>
            </a:ext>
          </a:extLst>
        </xdr:cNvPr>
        <xdr:cNvSpPr/>
      </xdr:nvSpPr>
      <xdr:spPr>
        <a:xfrm flipH="1" flipV="1">
          <a:off x="0" y="754380"/>
          <a:ext cx="1645920" cy="656082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441960</xdr:colOff>
      <xdr:row>3</xdr:row>
      <xdr:rowOff>175260</xdr:rowOff>
    </xdr:from>
    <xdr:to>
      <xdr:col>23</xdr:col>
      <xdr:colOff>228600</xdr:colOff>
      <xdr:row>11</xdr:row>
      <xdr:rowOff>38100</xdr:rowOff>
    </xdr:to>
    <xdr:sp macro="" textlink="">
      <xdr:nvSpPr>
        <xdr:cNvPr id="4" name="Rectangle 3">
          <a:extLst>
            <a:ext uri="{FF2B5EF4-FFF2-40B4-BE49-F238E27FC236}">
              <a16:creationId xmlns:a16="http://schemas.microsoft.com/office/drawing/2014/main" id="{398312FE-8560-0650-3A39-D72D317292EB}"/>
            </a:ext>
          </a:extLst>
        </xdr:cNvPr>
        <xdr:cNvSpPr/>
      </xdr:nvSpPr>
      <xdr:spPr>
        <a:xfrm>
          <a:off x="1661160" y="723900"/>
          <a:ext cx="12588240" cy="1325880"/>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b="1"/>
        </a:p>
      </xdr:txBody>
    </xdr:sp>
    <xdr:clientData/>
  </xdr:twoCellAnchor>
  <xdr:twoCellAnchor>
    <xdr:from>
      <xdr:col>3</xdr:col>
      <xdr:colOff>30480</xdr:colOff>
      <xdr:row>4</xdr:row>
      <xdr:rowOff>167640</xdr:rowOff>
    </xdr:from>
    <xdr:to>
      <xdr:col>6</xdr:col>
      <xdr:colOff>236220</xdr:colOff>
      <xdr:row>10</xdr:row>
      <xdr:rowOff>60960</xdr:rowOff>
    </xdr:to>
    <xdr:sp macro="" textlink="Backdata!B14">
      <xdr:nvSpPr>
        <xdr:cNvPr id="6" name="Rectangle: Rounded Corners 5">
          <a:extLst>
            <a:ext uri="{FF2B5EF4-FFF2-40B4-BE49-F238E27FC236}">
              <a16:creationId xmlns:a16="http://schemas.microsoft.com/office/drawing/2014/main" id="{C8BD1DA6-1B08-4A6D-B04F-58706C8C9440}"/>
            </a:ext>
          </a:extLst>
        </xdr:cNvPr>
        <xdr:cNvSpPr/>
      </xdr:nvSpPr>
      <xdr:spPr>
        <a:xfrm>
          <a:off x="1859280" y="899160"/>
          <a:ext cx="2034540" cy="9906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rgbClr val="000000"/>
              </a:solidFill>
              <a:latin typeface="Book Antiqua" panose="02040602050305030304" pitchFamily="18" charset="0"/>
            </a:rPr>
            <a:t>Total  Students</a:t>
          </a:r>
        </a:p>
        <a:p>
          <a:pPr algn="ctr"/>
          <a:fld id="{80C60F78-6EC3-480C-B5F7-4B5666405F74}" type="TxLink">
            <a:rPr lang="en-US" sz="1800" b="1" i="0" u="none" strike="noStrike">
              <a:solidFill>
                <a:srgbClr val="000000"/>
              </a:solidFill>
              <a:latin typeface="Book Antiqua" panose="02040602050305030304" pitchFamily="18" charset="0"/>
            </a:rPr>
            <a:t>50</a:t>
          </a:fld>
          <a:endParaRPr lang="en-IN" sz="1800" b="1">
            <a:latin typeface="Book Antiqua" panose="02040602050305030304" pitchFamily="18" charset="0"/>
          </a:endParaRPr>
        </a:p>
      </xdr:txBody>
    </xdr:sp>
    <xdr:clientData/>
  </xdr:twoCellAnchor>
  <xdr:twoCellAnchor>
    <xdr:from>
      <xdr:col>14</xdr:col>
      <xdr:colOff>320040</xdr:colOff>
      <xdr:row>4</xdr:row>
      <xdr:rowOff>114300</xdr:rowOff>
    </xdr:from>
    <xdr:to>
      <xdr:col>17</xdr:col>
      <xdr:colOff>525780</xdr:colOff>
      <xdr:row>10</xdr:row>
      <xdr:rowOff>7620</xdr:rowOff>
    </xdr:to>
    <xdr:sp macro="" textlink="Backdata!F17">
      <xdr:nvSpPr>
        <xdr:cNvPr id="9" name="Rectangle: Rounded Corners 8">
          <a:extLst>
            <a:ext uri="{FF2B5EF4-FFF2-40B4-BE49-F238E27FC236}">
              <a16:creationId xmlns:a16="http://schemas.microsoft.com/office/drawing/2014/main" id="{A398295D-07FD-2894-342E-7B52F54CA04B}"/>
            </a:ext>
          </a:extLst>
        </xdr:cNvPr>
        <xdr:cNvSpPr/>
      </xdr:nvSpPr>
      <xdr:spPr>
        <a:xfrm>
          <a:off x="8854440" y="845820"/>
          <a:ext cx="2034540" cy="9906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rgbClr val="000000"/>
              </a:solidFill>
              <a:latin typeface="Book Antiqua" panose="02040602050305030304" pitchFamily="18" charset="0"/>
              <a:cs typeface="Aparajita" panose="02020603050405020304" pitchFamily="18" charset="0"/>
            </a:rPr>
            <a:t>Ave Attendance</a:t>
          </a:r>
        </a:p>
        <a:p>
          <a:pPr algn="ctr"/>
          <a:fld id="{B68FEB59-8C5E-45F7-A90D-DA911CF66E4D}" type="TxLink">
            <a:rPr lang="en-US" sz="1800" b="1" i="0" u="none" strike="noStrike">
              <a:solidFill>
                <a:srgbClr val="000000"/>
              </a:solidFill>
              <a:latin typeface="Book Antiqua" panose="02040602050305030304" pitchFamily="18" charset="0"/>
              <a:cs typeface="Aparajita" panose="02020603050405020304" pitchFamily="18" charset="0"/>
            </a:rPr>
            <a:t>81.90</a:t>
          </a:fld>
          <a:endParaRPr lang="en-IN" sz="1800" b="1">
            <a:latin typeface="Book Antiqua" panose="02040602050305030304" pitchFamily="18" charset="0"/>
            <a:cs typeface="Aparajita" panose="02020603050405020304" pitchFamily="18" charset="0"/>
          </a:endParaRPr>
        </a:p>
      </xdr:txBody>
    </xdr:sp>
    <xdr:clientData/>
  </xdr:twoCellAnchor>
  <xdr:twoCellAnchor>
    <xdr:from>
      <xdr:col>2</xdr:col>
      <xdr:colOff>434340</xdr:colOff>
      <xdr:row>11</xdr:row>
      <xdr:rowOff>45720</xdr:rowOff>
    </xdr:from>
    <xdr:to>
      <xdr:col>11</xdr:col>
      <xdr:colOff>259080</xdr:colOff>
      <xdr:row>26</xdr:row>
      <xdr:rowOff>45720</xdr:rowOff>
    </xdr:to>
    <xdr:graphicFrame macro="">
      <xdr:nvGraphicFramePr>
        <xdr:cNvPr id="10" name="Chart 9">
          <a:extLst>
            <a:ext uri="{FF2B5EF4-FFF2-40B4-BE49-F238E27FC236}">
              <a16:creationId xmlns:a16="http://schemas.microsoft.com/office/drawing/2014/main" id="{76EFCF37-0320-404C-A847-39E283C0F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11</xdr:row>
      <xdr:rowOff>45720</xdr:rowOff>
    </xdr:from>
    <xdr:to>
      <xdr:col>20</xdr:col>
      <xdr:colOff>167640</xdr:colOff>
      <xdr:row>26</xdr:row>
      <xdr:rowOff>60960</xdr:rowOff>
    </xdr:to>
    <xdr:graphicFrame macro="">
      <xdr:nvGraphicFramePr>
        <xdr:cNvPr id="11" name="Chart 10">
          <a:extLst>
            <a:ext uri="{FF2B5EF4-FFF2-40B4-BE49-F238E27FC236}">
              <a16:creationId xmlns:a16="http://schemas.microsoft.com/office/drawing/2014/main" id="{B8B4271D-42DD-4C3B-996F-20C48D03A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26</xdr:row>
      <xdr:rowOff>45720</xdr:rowOff>
    </xdr:from>
    <xdr:to>
      <xdr:col>11</xdr:col>
      <xdr:colOff>251460</xdr:colOff>
      <xdr:row>41</xdr:row>
      <xdr:rowOff>45720</xdr:rowOff>
    </xdr:to>
    <xdr:graphicFrame macro="">
      <xdr:nvGraphicFramePr>
        <xdr:cNvPr id="12" name="Chart 11">
          <a:extLst>
            <a:ext uri="{FF2B5EF4-FFF2-40B4-BE49-F238E27FC236}">
              <a16:creationId xmlns:a16="http://schemas.microsoft.com/office/drawing/2014/main" id="{3B151D49-4412-4F65-89EE-7C23E209F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259080</xdr:colOff>
      <xdr:row>26</xdr:row>
      <xdr:rowOff>53340</xdr:rowOff>
    </xdr:from>
    <xdr:to>
      <xdr:col>20</xdr:col>
      <xdr:colOff>182880</xdr:colOff>
      <xdr:row>41</xdr:row>
      <xdr:rowOff>53340</xdr:rowOff>
    </xdr:to>
    <xdr:graphicFrame macro="">
      <xdr:nvGraphicFramePr>
        <xdr:cNvPr id="13" name="Chart 12">
          <a:extLst>
            <a:ext uri="{FF2B5EF4-FFF2-40B4-BE49-F238E27FC236}">
              <a16:creationId xmlns:a16="http://schemas.microsoft.com/office/drawing/2014/main" id="{A10BE1FB-76AD-4FB2-AEA3-C168AEC4C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182880</xdr:colOff>
      <xdr:row>11</xdr:row>
      <xdr:rowOff>53340</xdr:rowOff>
    </xdr:from>
    <xdr:to>
      <xdr:col>23</xdr:col>
      <xdr:colOff>236220</xdr:colOff>
      <xdr:row>41</xdr:row>
      <xdr:rowOff>45720</xdr:rowOff>
    </xdr:to>
    <xdr:sp macro="" textlink="">
      <xdr:nvSpPr>
        <xdr:cNvPr id="14" name="Rectangle 13">
          <a:extLst>
            <a:ext uri="{FF2B5EF4-FFF2-40B4-BE49-F238E27FC236}">
              <a16:creationId xmlns:a16="http://schemas.microsoft.com/office/drawing/2014/main" id="{ACE0566B-F6AA-1ABD-C724-1EDA7D795A43}"/>
            </a:ext>
          </a:extLst>
        </xdr:cNvPr>
        <xdr:cNvSpPr/>
      </xdr:nvSpPr>
      <xdr:spPr>
        <a:xfrm>
          <a:off x="12374880" y="2065020"/>
          <a:ext cx="1882140" cy="54787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30480</xdr:colOff>
      <xdr:row>4</xdr:row>
      <xdr:rowOff>76200</xdr:rowOff>
    </xdr:from>
    <xdr:to>
      <xdr:col>2</xdr:col>
      <xdr:colOff>358140</xdr:colOff>
      <xdr:row>15</xdr:row>
      <xdr:rowOff>175260</xdr:rowOff>
    </xdr:to>
    <mc:AlternateContent xmlns:mc="http://schemas.openxmlformats.org/markup-compatibility/2006" xmlns:a14="http://schemas.microsoft.com/office/drawing/2010/main">
      <mc:Choice Requires="a14">
        <xdr:graphicFrame macro="">
          <xdr:nvGraphicFramePr>
            <xdr:cNvPr id="15" name="Grade 1">
              <a:extLst>
                <a:ext uri="{FF2B5EF4-FFF2-40B4-BE49-F238E27FC236}">
                  <a16:creationId xmlns:a16="http://schemas.microsoft.com/office/drawing/2014/main" id="{B01B87F8-663F-460D-8A9A-21505B00E222}"/>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30480" y="807720"/>
              <a:ext cx="154686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16</xdr:row>
      <xdr:rowOff>83820</xdr:rowOff>
    </xdr:from>
    <xdr:to>
      <xdr:col>2</xdr:col>
      <xdr:colOff>350520</xdr:colOff>
      <xdr:row>24</xdr:row>
      <xdr:rowOff>83820</xdr:rowOff>
    </xdr:to>
    <mc:AlternateContent xmlns:mc="http://schemas.openxmlformats.org/markup-compatibility/2006" xmlns:a14="http://schemas.microsoft.com/office/drawing/2010/main">
      <mc:Choice Requires="a14">
        <xdr:graphicFrame macro="">
          <xdr:nvGraphicFramePr>
            <xdr:cNvPr id="16" name="Class 1">
              <a:extLst>
                <a:ext uri="{FF2B5EF4-FFF2-40B4-BE49-F238E27FC236}">
                  <a16:creationId xmlns:a16="http://schemas.microsoft.com/office/drawing/2014/main" id="{97D990A1-4125-4F5C-8B6B-737F3873A242}"/>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60960" y="3009900"/>
              <a:ext cx="150876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24</xdr:row>
      <xdr:rowOff>152400</xdr:rowOff>
    </xdr:from>
    <xdr:to>
      <xdr:col>2</xdr:col>
      <xdr:colOff>327660</xdr:colOff>
      <xdr:row>32</xdr:row>
      <xdr:rowOff>38100</xdr:rowOff>
    </xdr:to>
    <mc:AlternateContent xmlns:mc="http://schemas.openxmlformats.org/markup-compatibility/2006" xmlns:a14="http://schemas.microsoft.com/office/drawing/2010/main">
      <mc:Choice Requires="a14">
        <xdr:graphicFrame macro="">
          <xdr:nvGraphicFramePr>
            <xdr:cNvPr id="18" name="Subject 1">
              <a:extLst>
                <a:ext uri="{FF2B5EF4-FFF2-40B4-BE49-F238E27FC236}">
                  <a16:creationId xmlns:a16="http://schemas.microsoft.com/office/drawing/2014/main" id="{D5CB9CFD-995F-4B99-9D8E-395326606284}"/>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mlns="">
        <xdr:sp macro="" textlink="">
          <xdr:nvSpPr>
            <xdr:cNvPr id="0" name=""/>
            <xdr:cNvSpPr>
              <a:spLocks noTextEdit="1"/>
            </xdr:cNvSpPr>
          </xdr:nvSpPr>
          <xdr:spPr>
            <a:xfrm>
              <a:off x="38100" y="4541520"/>
              <a:ext cx="150876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32</xdr:row>
      <xdr:rowOff>152400</xdr:rowOff>
    </xdr:from>
    <xdr:to>
      <xdr:col>2</xdr:col>
      <xdr:colOff>350520</xdr:colOff>
      <xdr:row>39</xdr:row>
      <xdr:rowOff>68580</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20548E1C-E677-4D57-BDA0-6BACB717859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960" y="6004560"/>
              <a:ext cx="150876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114300</xdr:rowOff>
    </xdr:from>
    <xdr:to>
      <xdr:col>21</xdr:col>
      <xdr:colOff>510540</xdr:colOff>
      <xdr:row>10</xdr:row>
      <xdr:rowOff>7620</xdr:rowOff>
    </xdr:to>
    <xdr:sp macro="" textlink="Backdata!G12">
      <xdr:nvSpPr>
        <xdr:cNvPr id="22" name="Rectangle: Rounded Corners 21">
          <a:extLst>
            <a:ext uri="{FF2B5EF4-FFF2-40B4-BE49-F238E27FC236}">
              <a16:creationId xmlns:a16="http://schemas.microsoft.com/office/drawing/2014/main" id="{2D21508C-CC8F-E3ED-EB79-A65542731B5B}"/>
            </a:ext>
          </a:extLst>
        </xdr:cNvPr>
        <xdr:cNvSpPr/>
      </xdr:nvSpPr>
      <xdr:spPr>
        <a:xfrm>
          <a:off x="11277600" y="845820"/>
          <a:ext cx="2034540" cy="9906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rgbClr val="000000"/>
              </a:solidFill>
              <a:latin typeface="Book Antiqua" panose="02040602050305030304" pitchFamily="18" charset="0"/>
              <a:cs typeface="Aparajita" panose="02020603050405020304" pitchFamily="18" charset="0"/>
            </a:rPr>
            <a:t>Top Performer</a:t>
          </a:r>
        </a:p>
        <a:p>
          <a:pPr algn="ctr"/>
          <a:fld id="{E42EE046-C188-43DC-87A3-1BBF1B20273C}" type="TxLink">
            <a:rPr lang="en-US" sz="1800" b="1" i="0" u="none" strike="noStrike">
              <a:solidFill>
                <a:srgbClr val="000000"/>
              </a:solidFill>
              <a:latin typeface="Book Antiqua" panose="02040602050305030304" pitchFamily="18" charset="0"/>
              <a:cs typeface="Aparajita" panose="02020603050405020304" pitchFamily="18" charset="0"/>
            </a:rPr>
            <a:t>Mitali - 98.75%</a:t>
          </a:fld>
          <a:endParaRPr lang="en-US" sz="1800" b="1">
            <a:latin typeface="Book Antiqua" panose="02040602050305030304" pitchFamily="18" charset="0"/>
            <a:cs typeface="Aparajita" panose="02020603050405020304" pitchFamily="18" charset="0"/>
          </a:endParaRPr>
        </a:p>
      </xdr:txBody>
    </xdr:sp>
    <xdr:clientData/>
  </xdr:twoCellAnchor>
  <xdr:twoCellAnchor>
    <xdr:from>
      <xdr:col>3</xdr:col>
      <xdr:colOff>495300</xdr:colOff>
      <xdr:row>0</xdr:row>
      <xdr:rowOff>76200</xdr:rowOff>
    </xdr:from>
    <xdr:to>
      <xdr:col>19</xdr:col>
      <xdr:colOff>381000</xdr:colOff>
      <xdr:row>3</xdr:row>
      <xdr:rowOff>76200</xdr:rowOff>
    </xdr:to>
    <xdr:sp macro="" textlink="">
      <xdr:nvSpPr>
        <xdr:cNvPr id="23" name="Rectangle: Rounded Corners 22">
          <a:extLst>
            <a:ext uri="{FF2B5EF4-FFF2-40B4-BE49-F238E27FC236}">
              <a16:creationId xmlns:a16="http://schemas.microsoft.com/office/drawing/2014/main" id="{0BF0D9D3-6571-C10B-4D64-5734D8929F3F}"/>
            </a:ext>
          </a:extLst>
        </xdr:cNvPr>
        <xdr:cNvSpPr/>
      </xdr:nvSpPr>
      <xdr:spPr>
        <a:xfrm>
          <a:off x="2324100" y="76200"/>
          <a:ext cx="9639300" cy="548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latin typeface="Book Antiqua" panose="02040602050305030304" pitchFamily="18" charset="0"/>
            </a:rPr>
            <a:t>Student  </a:t>
          </a:r>
          <a:r>
            <a:rPr lang="en-IN" sz="2800" b="1">
              <a:latin typeface="Book Antiqua" panose="02040602050305030304" pitchFamily="18" charset="0"/>
            </a:rPr>
            <a:t>Performance</a:t>
          </a:r>
          <a:r>
            <a:rPr lang="en-IN" sz="2400" b="1">
              <a:latin typeface="Book Antiqua" panose="02040602050305030304" pitchFamily="18" charset="0"/>
            </a:rPr>
            <a:t>  Dashboard</a:t>
          </a:r>
        </a:p>
      </xdr:txBody>
    </xdr:sp>
    <xdr:clientData/>
  </xdr:twoCellAnchor>
  <xdr:twoCellAnchor editAs="oneCell">
    <xdr:from>
      <xdr:col>20</xdr:col>
      <xdr:colOff>365760</xdr:colOff>
      <xdr:row>14</xdr:row>
      <xdr:rowOff>0</xdr:rowOff>
    </xdr:from>
    <xdr:to>
      <xdr:col>22</xdr:col>
      <xdr:colOff>510540</xdr:colOff>
      <xdr:row>22</xdr:row>
      <xdr:rowOff>152400</xdr:rowOff>
    </xdr:to>
    <xdr:pic>
      <xdr:nvPicPr>
        <xdr:cNvPr id="24" name="Picture 23">
          <a:hlinkClick xmlns:r="http://schemas.openxmlformats.org/officeDocument/2006/relationships" r:id="rId5"/>
          <a:extLst>
            <a:ext uri="{FF2B5EF4-FFF2-40B4-BE49-F238E27FC236}">
              <a16:creationId xmlns:a16="http://schemas.microsoft.com/office/drawing/2014/main" id="{9AEBB863-0D17-F466-3C6F-C1373456549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557760" y="2560320"/>
          <a:ext cx="1363980" cy="1615440"/>
        </a:xfrm>
        <a:prstGeom prst="rect">
          <a:avLst/>
        </a:prstGeom>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15240</xdr:colOff>
      <xdr:row>9</xdr:row>
      <xdr:rowOff>53340</xdr:rowOff>
    </xdr:from>
    <xdr:to>
      <xdr:col>29</xdr:col>
      <xdr:colOff>22860</xdr:colOff>
      <xdr:row>18</xdr:row>
      <xdr:rowOff>0</xdr:rowOff>
    </xdr:to>
    <xdr:graphicFrame macro="">
      <xdr:nvGraphicFramePr>
        <xdr:cNvPr id="26" name="Diagram 25">
          <a:extLst>
            <a:ext uri="{FF2B5EF4-FFF2-40B4-BE49-F238E27FC236}">
              <a16:creationId xmlns:a16="http://schemas.microsoft.com/office/drawing/2014/main" id="{D7597178-79DD-59CF-829E-B784F1E1A65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editAs="oneCell">
    <xdr:from>
      <xdr:col>20</xdr:col>
      <xdr:colOff>548640</xdr:colOff>
      <xdr:row>26</xdr:row>
      <xdr:rowOff>99060</xdr:rowOff>
    </xdr:from>
    <xdr:to>
      <xdr:col>22</xdr:col>
      <xdr:colOff>449580</xdr:colOff>
      <xdr:row>34</xdr:row>
      <xdr:rowOff>76200</xdr:rowOff>
    </xdr:to>
    <xdr:pic>
      <xdr:nvPicPr>
        <xdr:cNvPr id="28" name="Picture 27">
          <a:hlinkClick xmlns:r="http://schemas.openxmlformats.org/officeDocument/2006/relationships" r:id="rId12"/>
          <a:extLst>
            <a:ext uri="{FF2B5EF4-FFF2-40B4-BE49-F238E27FC236}">
              <a16:creationId xmlns:a16="http://schemas.microsoft.com/office/drawing/2014/main" id="{D0476A44-35C5-8AD0-720B-13102423ABD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2740640" y="4853940"/>
          <a:ext cx="1120140" cy="1440180"/>
        </a:xfrm>
        <a:prstGeom prst="roundRect">
          <a:avLst>
            <a:gd name="adj" fmla="val 8594"/>
          </a:avLst>
        </a:prstGeom>
        <a:solidFill>
          <a:srgbClr val="FFFFFF">
            <a:shade val="85000"/>
          </a:srgbClr>
        </a:solidFill>
        <a:ln>
          <a:noFill/>
        </a:ln>
        <a:effectLst>
          <a:outerShdw blurRad="50800" dist="38100" dir="2700000" algn="tl" rotWithShape="0">
            <a:prstClr val="black">
              <a:alpha val="40000"/>
            </a:prstClr>
          </a:outerShdw>
        </a:effectLst>
      </xdr:spPr>
    </xdr:pic>
    <xdr:clientData/>
  </xdr:twoCellAnchor>
  <xdr:twoCellAnchor editAs="oneCell">
    <xdr:from>
      <xdr:col>6</xdr:col>
      <xdr:colOff>38100</xdr:colOff>
      <xdr:row>0</xdr:row>
      <xdr:rowOff>114300</xdr:rowOff>
    </xdr:from>
    <xdr:to>
      <xdr:col>7</xdr:col>
      <xdr:colOff>297180</xdr:colOff>
      <xdr:row>3</xdr:row>
      <xdr:rowOff>38100</xdr:rowOff>
    </xdr:to>
    <xdr:pic>
      <xdr:nvPicPr>
        <xdr:cNvPr id="29" name="Picture 28">
          <a:extLst>
            <a:ext uri="{FF2B5EF4-FFF2-40B4-BE49-F238E27FC236}">
              <a16:creationId xmlns:a16="http://schemas.microsoft.com/office/drawing/2014/main" id="{61197BF3-2950-280B-4D26-133E55912D4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695700" y="114300"/>
          <a:ext cx="86868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495300</xdr:colOff>
      <xdr:row>4</xdr:row>
      <xdr:rowOff>152400</xdr:rowOff>
    </xdr:from>
    <xdr:to>
      <xdr:col>10</xdr:col>
      <xdr:colOff>91440</xdr:colOff>
      <xdr:row>10</xdr:row>
      <xdr:rowOff>45720</xdr:rowOff>
    </xdr:to>
    <xdr:sp macro="" textlink="Backdata!D14">
      <xdr:nvSpPr>
        <xdr:cNvPr id="5" name="Rectangle: Rounded Corners 4">
          <a:extLst>
            <a:ext uri="{FF2B5EF4-FFF2-40B4-BE49-F238E27FC236}">
              <a16:creationId xmlns:a16="http://schemas.microsoft.com/office/drawing/2014/main" id="{B4C75A38-7AD3-AAEE-2C76-38677D0FBBC8}"/>
            </a:ext>
          </a:extLst>
        </xdr:cNvPr>
        <xdr:cNvSpPr/>
      </xdr:nvSpPr>
      <xdr:spPr>
        <a:xfrm>
          <a:off x="4152900" y="883920"/>
          <a:ext cx="2034540" cy="9906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1800" b="1" i="0" u="none" strike="noStrike">
              <a:solidFill>
                <a:srgbClr val="000000"/>
              </a:solidFill>
              <a:latin typeface="Book Antiqua" panose="02040602050305030304" pitchFamily="18" charset="0"/>
            </a:rPr>
            <a:t>Average Percent</a:t>
          </a:r>
        </a:p>
        <a:p>
          <a:pPr algn="r"/>
          <a:fld id="{1ECDEBD0-B40C-48D4-A0DB-76A104EE7436}" type="TxLink">
            <a:rPr lang="en-US" sz="1800" b="1" i="0" u="none" strike="noStrike">
              <a:solidFill>
                <a:srgbClr val="000000"/>
              </a:solidFill>
              <a:latin typeface="Book Antiqua" panose="02040602050305030304" pitchFamily="18" charset="0"/>
            </a:rPr>
            <a:pPr algn="r"/>
            <a:t>78%</a:t>
          </a:fld>
          <a:endParaRPr lang="en-IN" sz="1800" b="1">
            <a:latin typeface="Book Antiqua" panose="02040602050305030304" pitchFamily="18" charset="0"/>
          </a:endParaRPr>
        </a:p>
      </xdr:txBody>
    </xdr:sp>
    <xdr:clientData/>
  </xdr:twoCellAnchor>
  <xdr:twoCellAnchor>
    <xdr:from>
      <xdr:col>2</xdr:col>
      <xdr:colOff>441960</xdr:colOff>
      <xdr:row>11</xdr:row>
      <xdr:rowOff>38100</xdr:rowOff>
    </xdr:from>
    <xdr:to>
      <xdr:col>11</xdr:col>
      <xdr:colOff>266700</xdr:colOff>
      <xdr:row>26</xdr:row>
      <xdr:rowOff>38100</xdr:rowOff>
    </xdr:to>
    <xdr:graphicFrame macro="">
      <xdr:nvGraphicFramePr>
        <xdr:cNvPr id="17" name="Chart 16">
          <a:extLst>
            <a:ext uri="{FF2B5EF4-FFF2-40B4-BE49-F238E27FC236}">
              <a16:creationId xmlns:a16="http://schemas.microsoft.com/office/drawing/2014/main" id="{081A14F5-30C3-CC46-B263-3CD860697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411480</xdr:colOff>
      <xdr:row>4</xdr:row>
      <xdr:rowOff>129540</xdr:rowOff>
    </xdr:from>
    <xdr:to>
      <xdr:col>14</xdr:col>
      <xdr:colOff>7620</xdr:colOff>
      <xdr:row>10</xdr:row>
      <xdr:rowOff>22860</xdr:rowOff>
    </xdr:to>
    <xdr:sp macro="" textlink="Backdata!F14">
      <xdr:nvSpPr>
        <xdr:cNvPr id="20" name="Rectangle: Rounded Corners 19">
          <a:extLst>
            <a:ext uri="{FF2B5EF4-FFF2-40B4-BE49-F238E27FC236}">
              <a16:creationId xmlns:a16="http://schemas.microsoft.com/office/drawing/2014/main" id="{2030DC48-3ADF-62B0-50A5-E85B5DE25B68}"/>
            </a:ext>
          </a:extLst>
        </xdr:cNvPr>
        <xdr:cNvSpPr/>
      </xdr:nvSpPr>
      <xdr:spPr>
        <a:xfrm>
          <a:off x="6507480" y="861060"/>
          <a:ext cx="2034540" cy="9906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rgbClr val="000000"/>
              </a:solidFill>
              <a:latin typeface="Book Antiqua" panose="02040602050305030304" pitchFamily="18" charset="0"/>
            </a:rPr>
            <a:t>Highest Percent</a:t>
          </a:r>
        </a:p>
        <a:p>
          <a:pPr algn="ctr"/>
          <a:fld id="{1748151D-4D7B-4CF6-BB50-20AFBAF91BB9}" type="TxLink">
            <a:rPr lang="en-US" sz="1800" b="1" i="0" u="none" strike="noStrike">
              <a:solidFill>
                <a:srgbClr val="000000"/>
              </a:solidFill>
              <a:latin typeface="Book Antiqua" panose="02040602050305030304" pitchFamily="18" charset="0"/>
            </a:rPr>
            <a:t>99%</a:t>
          </a:fld>
          <a:endParaRPr lang="en-US" sz="1800" b="1" i="0" u="none" strike="noStrike">
            <a:solidFill>
              <a:srgbClr val="000000"/>
            </a:solidFill>
            <a:latin typeface="Book Antiqua" panose="0204060205030503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Atul More" refreshedDate="46261.606530439814" createdVersion="8" refreshedVersion="8" minRefreshableVersion="3" recordCount="50" xr:uid="{724C044E-10FF-43CD-9D7B-7F29D7B655E3}">
  <cacheSource type="worksheet">
    <worksheetSource ref="A1:N51" sheet="Excel Dta"/>
  </cacheSource>
  <cacheFields count="14">
    <cacheField name="Student ID" numFmtId="0">
      <sharedItems/>
    </cacheField>
    <cacheField name="Student Name" numFmtId="0">
      <sharedItems count="50">
        <s v="Aarav"/>
        <s v="Anaya"/>
        <s v="Rohan"/>
        <s v="Isha"/>
        <s v="Aditya"/>
        <s v="Sneha"/>
        <s v="Om"/>
        <s v="Priya"/>
        <s v="Yash"/>
        <s v="Riya"/>
        <s v="Atharva"/>
        <s v="Diya"/>
        <s v="Rahul"/>
        <s v="Kavya"/>
        <s v="Siddharth"/>
        <s v="Neha"/>
        <s v="Kunal"/>
        <s v="Pooja"/>
        <s v="Akash"/>
        <s v="Meera"/>
        <s v="Tanmay"/>
        <s v="Sakshi"/>
        <s v="Nikhil"/>
        <s v="Aditi"/>
        <s v="Varun"/>
        <s v="Shreya"/>
        <s v="Manish"/>
        <s v="Nandini"/>
        <s v="Pranav"/>
        <s v="Mitali"/>
        <s v="Harsh"/>
        <s v="Anjali"/>
        <s v="Dev"/>
        <s v="Simran"/>
        <s v="Jay"/>
        <s v="Rutuja"/>
        <s v="Sagar"/>
        <s v="Komal"/>
        <s v="Abhishek"/>
        <s v="Priti"/>
        <s v="Mayur"/>
        <s v="Shruti"/>
        <s v="Rohit"/>
        <s v="Vaishnavi"/>
        <s v="Akshay"/>
        <s v="Sanika"/>
        <s v="Tejas"/>
        <s v="Amruta"/>
        <s v="Siddhi"/>
        <s v="Ganesh"/>
      </sharedItems>
    </cacheField>
    <cacheField name="Gender" numFmtId="0">
      <sharedItems count="2">
        <s v="Male"/>
        <s v="Female"/>
      </sharedItems>
    </cacheField>
    <cacheField name="Class" numFmtId="0">
      <sharedItems count="3">
        <s v="FY BCA"/>
        <s v="SY BCA"/>
        <s v="TY BCA"/>
      </sharedItems>
    </cacheField>
    <cacheField name="Subject" numFmtId="0">
      <sharedItems count="3">
        <s v="Python"/>
        <s v="Java"/>
        <s v="SQL"/>
      </sharedItems>
    </cacheField>
    <cacheField name="Attendance %" numFmtId="0">
      <sharedItems containsSemiMixedTypes="0" containsString="0" containsNumber="1" containsInteger="1" minValue="58" maxValue="98"/>
    </cacheField>
    <cacheField name="Assignment" numFmtId="0">
      <sharedItems containsSemiMixedTypes="0" containsString="0" containsNumber="1" containsInteger="1" minValue="10" maxValue="20"/>
    </cacheField>
    <cacheField name="Internal" numFmtId="0">
      <sharedItems containsSemiMixedTypes="0" containsString="0" containsNumber="1" containsInteger="1" minValue="13" maxValue="24"/>
    </cacheField>
    <cacheField name="Practical" numFmtId="0">
      <sharedItems containsSemiMixedTypes="0" containsString="0" containsNumber="1" containsInteger="1" minValue="15" maxValue="25"/>
    </cacheField>
    <cacheField name="Theory" numFmtId="0">
      <sharedItems containsSemiMixedTypes="0" containsString="0" containsNumber="1" containsInteger="1" minValue="39" maxValue="89"/>
    </cacheField>
    <cacheField name="Total" numFmtId="0">
      <sharedItems containsSemiMixedTypes="0" containsString="0" containsNumber="1" containsInteger="1" minValue="77" maxValue="158"/>
    </cacheField>
    <cacheField name="Percentage" numFmtId="10">
      <sharedItems containsSemiMixedTypes="0" containsString="0" containsNumber="1" minValue="0.48130000000000001" maxValue="0.98750000000000004"/>
    </cacheField>
    <cacheField name="Grade" numFmtId="0">
      <sharedItems count="6">
        <s v="A+"/>
        <s v="A"/>
        <s v="B+"/>
        <s v="B"/>
        <s v="C"/>
        <s v="D"/>
      </sharedItems>
    </cacheField>
    <cacheField name="Result" numFmtId="0">
      <sharedItems count="2">
        <s v="Pass"/>
        <s v="Fail"/>
      </sharedItems>
    </cacheField>
  </cacheFields>
  <extLst>
    <ext xmlns:x14="http://schemas.microsoft.com/office/spreadsheetml/2009/9/main" uri="{725AE2AE-9491-48be-B2B4-4EB974FC3084}">
      <x14:pivotCacheDefinition pivotCacheId="1267595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001"/>
    <x v="0"/>
    <x v="0"/>
    <x v="0"/>
    <x v="0"/>
    <n v="92"/>
    <n v="18"/>
    <n v="23"/>
    <n v="24"/>
    <n v="78"/>
    <n v="143"/>
    <n v="0.89380000000000004"/>
    <x v="0"/>
    <x v="0"/>
  </r>
  <r>
    <s v="S002"/>
    <x v="1"/>
    <x v="1"/>
    <x v="0"/>
    <x v="0"/>
    <n v="88"/>
    <n v="17"/>
    <n v="21"/>
    <n v="23"/>
    <n v="72"/>
    <n v="133"/>
    <n v="0.83130000000000004"/>
    <x v="1"/>
    <x v="0"/>
  </r>
  <r>
    <s v="S003"/>
    <x v="2"/>
    <x v="0"/>
    <x v="0"/>
    <x v="1"/>
    <n v="76"/>
    <n v="15"/>
    <n v="19"/>
    <n v="21"/>
    <n v="65"/>
    <n v="120"/>
    <n v="0.75"/>
    <x v="2"/>
    <x v="0"/>
  </r>
  <r>
    <s v="S004"/>
    <x v="3"/>
    <x v="1"/>
    <x v="0"/>
    <x v="1"/>
    <n v="95"/>
    <n v="19"/>
    <n v="24"/>
    <n v="25"/>
    <n v="82"/>
    <n v="150"/>
    <n v="0.9375"/>
    <x v="0"/>
    <x v="0"/>
  </r>
  <r>
    <s v="S005"/>
    <x v="4"/>
    <x v="0"/>
    <x v="0"/>
    <x v="2"/>
    <n v="81"/>
    <n v="16"/>
    <n v="20"/>
    <n v="22"/>
    <n v="68"/>
    <n v="126"/>
    <n v="0.78749999999999998"/>
    <x v="2"/>
    <x v="0"/>
  </r>
  <r>
    <s v="S006"/>
    <x v="5"/>
    <x v="1"/>
    <x v="0"/>
    <x v="2"/>
    <n v="90"/>
    <n v="18"/>
    <n v="22"/>
    <n v="24"/>
    <n v="75"/>
    <n v="139"/>
    <n v="0.86880000000000002"/>
    <x v="1"/>
    <x v="0"/>
  </r>
  <r>
    <s v="S007"/>
    <x v="6"/>
    <x v="0"/>
    <x v="0"/>
    <x v="0"/>
    <n v="68"/>
    <n v="14"/>
    <n v="17"/>
    <n v="19"/>
    <n v="55"/>
    <n v="105"/>
    <n v="0.65629999999999999"/>
    <x v="3"/>
    <x v="0"/>
  </r>
  <r>
    <s v="S008"/>
    <x v="7"/>
    <x v="1"/>
    <x v="0"/>
    <x v="1"/>
    <n v="85"/>
    <n v="17"/>
    <n v="21"/>
    <n v="22"/>
    <n v="70"/>
    <n v="130"/>
    <n v="0.8125"/>
    <x v="1"/>
    <x v="0"/>
  </r>
  <r>
    <s v="S009"/>
    <x v="8"/>
    <x v="0"/>
    <x v="0"/>
    <x v="2"/>
    <n v="72"/>
    <n v="13"/>
    <n v="18"/>
    <n v="20"/>
    <n v="58"/>
    <n v="109"/>
    <n v="0.68130000000000002"/>
    <x v="3"/>
    <x v="0"/>
  </r>
  <r>
    <s v="S010"/>
    <x v="9"/>
    <x v="1"/>
    <x v="0"/>
    <x v="0"/>
    <n v="97"/>
    <n v="20"/>
    <n v="24"/>
    <n v="25"/>
    <n v="88"/>
    <n v="157"/>
    <n v="0.98129999999999995"/>
    <x v="0"/>
    <x v="0"/>
  </r>
  <r>
    <s v="S011"/>
    <x v="10"/>
    <x v="0"/>
    <x v="1"/>
    <x v="0"/>
    <n v="82"/>
    <n v="16"/>
    <n v="20"/>
    <n v="21"/>
    <n v="67"/>
    <n v="124"/>
    <n v="0.77500000000000002"/>
    <x v="2"/>
    <x v="0"/>
  </r>
  <r>
    <s v="S012"/>
    <x v="11"/>
    <x v="1"/>
    <x v="1"/>
    <x v="1"/>
    <n v="91"/>
    <n v="18"/>
    <n v="23"/>
    <n v="24"/>
    <n v="79"/>
    <n v="144"/>
    <n v="0.9"/>
    <x v="0"/>
    <x v="0"/>
  </r>
  <r>
    <s v="S013"/>
    <x v="12"/>
    <x v="0"/>
    <x v="1"/>
    <x v="2"/>
    <n v="65"/>
    <n v="12"/>
    <n v="16"/>
    <n v="18"/>
    <n v="49"/>
    <n v="95"/>
    <n v="0.59379999999999999"/>
    <x v="4"/>
    <x v="0"/>
  </r>
  <r>
    <s v="S014"/>
    <x v="13"/>
    <x v="1"/>
    <x v="1"/>
    <x v="0"/>
    <n v="87"/>
    <n v="17"/>
    <n v="22"/>
    <n v="23"/>
    <n v="73"/>
    <n v="135"/>
    <n v="0.84379999999999999"/>
    <x v="1"/>
    <x v="0"/>
  </r>
  <r>
    <s v="S015"/>
    <x v="14"/>
    <x v="0"/>
    <x v="1"/>
    <x v="1"/>
    <n v="79"/>
    <n v="15"/>
    <n v="19"/>
    <n v="21"/>
    <n v="63"/>
    <n v="118"/>
    <n v="0.73750000000000004"/>
    <x v="2"/>
    <x v="0"/>
  </r>
  <r>
    <s v="S016"/>
    <x v="15"/>
    <x v="1"/>
    <x v="1"/>
    <x v="2"/>
    <n v="94"/>
    <n v="19"/>
    <n v="23"/>
    <n v="24"/>
    <n v="81"/>
    <n v="147"/>
    <n v="0.91879999999999995"/>
    <x v="0"/>
    <x v="0"/>
  </r>
  <r>
    <s v="S017"/>
    <x v="16"/>
    <x v="0"/>
    <x v="1"/>
    <x v="0"/>
    <n v="73"/>
    <n v="14"/>
    <n v="18"/>
    <n v="20"/>
    <n v="57"/>
    <n v="109"/>
    <n v="0.68130000000000002"/>
    <x v="3"/>
    <x v="0"/>
  </r>
  <r>
    <s v="S018"/>
    <x v="17"/>
    <x v="1"/>
    <x v="1"/>
    <x v="1"/>
    <n v="89"/>
    <n v="18"/>
    <n v="21"/>
    <n v="23"/>
    <n v="76"/>
    <n v="138"/>
    <n v="0.86250000000000004"/>
    <x v="1"/>
    <x v="0"/>
  </r>
  <r>
    <s v="S019"/>
    <x v="18"/>
    <x v="0"/>
    <x v="1"/>
    <x v="2"/>
    <n v="61"/>
    <n v="11"/>
    <n v="15"/>
    <n v="17"/>
    <n v="45"/>
    <n v="88"/>
    <n v="0.55000000000000004"/>
    <x v="4"/>
    <x v="0"/>
  </r>
  <r>
    <s v="S020"/>
    <x v="19"/>
    <x v="1"/>
    <x v="1"/>
    <x v="0"/>
    <n v="96"/>
    <n v="20"/>
    <n v="24"/>
    <n v="25"/>
    <n v="85"/>
    <n v="154"/>
    <n v="0.96250000000000002"/>
    <x v="0"/>
    <x v="0"/>
  </r>
  <r>
    <s v="S021"/>
    <x v="20"/>
    <x v="0"/>
    <x v="2"/>
    <x v="0"/>
    <n v="84"/>
    <n v="16"/>
    <n v="20"/>
    <n v="22"/>
    <n v="69"/>
    <n v="127"/>
    <n v="0.79379999999999995"/>
    <x v="2"/>
    <x v="0"/>
  </r>
  <r>
    <s v="S022"/>
    <x v="21"/>
    <x v="1"/>
    <x v="2"/>
    <x v="1"/>
    <n v="93"/>
    <n v="19"/>
    <n v="23"/>
    <n v="24"/>
    <n v="80"/>
    <n v="146"/>
    <n v="0.91249999999999998"/>
    <x v="0"/>
    <x v="0"/>
  </r>
  <r>
    <s v="S023"/>
    <x v="22"/>
    <x v="0"/>
    <x v="2"/>
    <x v="2"/>
    <n v="70"/>
    <n v="13"/>
    <n v="17"/>
    <n v="19"/>
    <n v="52"/>
    <n v="101"/>
    <n v="0.63129999999999997"/>
    <x v="3"/>
    <x v="0"/>
  </r>
  <r>
    <s v="S024"/>
    <x v="23"/>
    <x v="1"/>
    <x v="2"/>
    <x v="0"/>
    <n v="86"/>
    <n v="17"/>
    <n v="21"/>
    <n v="23"/>
    <n v="74"/>
    <n v="135"/>
    <n v="0.84379999999999999"/>
    <x v="1"/>
    <x v="0"/>
  </r>
  <r>
    <s v="S025"/>
    <x v="24"/>
    <x v="0"/>
    <x v="2"/>
    <x v="1"/>
    <n v="78"/>
    <n v="15"/>
    <n v="18"/>
    <n v="20"/>
    <n v="61"/>
    <n v="114"/>
    <n v="0.71250000000000002"/>
    <x v="2"/>
    <x v="0"/>
  </r>
  <r>
    <s v="S026"/>
    <x v="25"/>
    <x v="1"/>
    <x v="2"/>
    <x v="2"/>
    <n v="91"/>
    <n v="18"/>
    <n v="22"/>
    <n v="24"/>
    <n v="77"/>
    <n v="141"/>
    <n v="0.88129999999999997"/>
    <x v="1"/>
    <x v="0"/>
  </r>
  <r>
    <s v="S027"/>
    <x v="26"/>
    <x v="0"/>
    <x v="2"/>
    <x v="0"/>
    <n v="66"/>
    <n v="12"/>
    <n v="16"/>
    <n v="18"/>
    <n v="48"/>
    <n v="94"/>
    <n v="0.58750000000000002"/>
    <x v="4"/>
    <x v="0"/>
  </r>
  <r>
    <s v="S028"/>
    <x v="27"/>
    <x v="1"/>
    <x v="2"/>
    <x v="1"/>
    <n v="88"/>
    <n v="17"/>
    <n v="21"/>
    <n v="22"/>
    <n v="71"/>
    <n v="131"/>
    <n v="0.81879999999999997"/>
    <x v="1"/>
    <x v="0"/>
  </r>
  <r>
    <s v="S029"/>
    <x v="28"/>
    <x v="0"/>
    <x v="2"/>
    <x v="2"/>
    <n v="74"/>
    <n v="14"/>
    <n v="18"/>
    <n v="20"/>
    <n v="56"/>
    <n v="108"/>
    <n v="0.67500000000000004"/>
    <x v="3"/>
    <x v="0"/>
  </r>
  <r>
    <s v="S030"/>
    <x v="29"/>
    <x v="1"/>
    <x v="2"/>
    <x v="0"/>
    <n v="98"/>
    <n v="20"/>
    <n v="24"/>
    <n v="25"/>
    <n v="89"/>
    <n v="158"/>
    <n v="0.98750000000000004"/>
    <x v="0"/>
    <x v="0"/>
  </r>
  <r>
    <s v="S031"/>
    <x v="30"/>
    <x v="0"/>
    <x v="0"/>
    <x v="1"/>
    <n v="69"/>
    <n v="13"/>
    <n v="17"/>
    <n v="19"/>
    <n v="50"/>
    <n v="99"/>
    <n v="0.61880000000000002"/>
    <x v="3"/>
    <x v="0"/>
  </r>
  <r>
    <s v="S032"/>
    <x v="31"/>
    <x v="1"/>
    <x v="0"/>
    <x v="2"/>
    <n v="83"/>
    <n v="16"/>
    <n v="20"/>
    <n v="22"/>
    <n v="66"/>
    <n v="124"/>
    <n v="0.77500000000000002"/>
    <x v="2"/>
    <x v="0"/>
  </r>
  <r>
    <s v="S033"/>
    <x v="32"/>
    <x v="0"/>
    <x v="0"/>
    <x v="0"/>
    <n v="80"/>
    <n v="15"/>
    <n v="19"/>
    <n v="21"/>
    <n v="64"/>
    <n v="119"/>
    <n v="0.74380000000000002"/>
    <x v="2"/>
    <x v="0"/>
  </r>
  <r>
    <s v="S034"/>
    <x v="33"/>
    <x v="1"/>
    <x v="0"/>
    <x v="1"/>
    <n v="92"/>
    <n v="19"/>
    <n v="23"/>
    <n v="24"/>
    <n v="82"/>
    <n v="148"/>
    <n v="0.92500000000000004"/>
    <x v="0"/>
    <x v="0"/>
  </r>
  <r>
    <s v="S035"/>
    <x v="34"/>
    <x v="0"/>
    <x v="0"/>
    <x v="2"/>
    <n v="64"/>
    <n v="11"/>
    <n v="15"/>
    <n v="17"/>
    <n v="44"/>
    <n v="87"/>
    <n v="0.54379999999999995"/>
    <x v="4"/>
    <x v="0"/>
  </r>
  <r>
    <s v="S036"/>
    <x v="35"/>
    <x v="1"/>
    <x v="0"/>
    <x v="0"/>
    <n v="90"/>
    <n v="18"/>
    <n v="22"/>
    <n v="24"/>
    <n v="76"/>
    <n v="140"/>
    <n v="0.875"/>
    <x v="1"/>
    <x v="0"/>
  </r>
  <r>
    <s v="S037"/>
    <x v="36"/>
    <x v="0"/>
    <x v="1"/>
    <x v="1"/>
    <n v="77"/>
    <n v="14"/>
    <n v="18"/>
    <n v="20"/>
    <n v="59"/>
    <n v="111"/>
    <n v="0.69379999999999997"/>
    <x v="3"/>
    <x v="0"/>
  </r>
  <r>
    <s v="S038"/>
    <x v="37"/>
    <x v="1"/>
    <x v="1"/>
    <x v="2"/>
    <n v="95"/>
    <n v="19"/>
    <n v="24"/>
    <n v="25"/>
    <n v="84"/>
    <n v="152"/>
    <n v="0.95"/>
    <x v="0"/>
    <x v="0"/>
  </r>
  <r>
    <s v="S039"/>
    <x v="38"/>
    <x v="0"/>
    <x v="1"/>
    <x v="0"/>
    <n v="71"/>
    <n v="13"/>
    <n v="17"/>
    <n v="19"/>
    <n v="53"/>
    <n v="102"/>
    <n v="0.63749999999999996"/>
    <x v="3"/>
    <x v="0"/>
  </r>
  <r>
    <s v="S040"/>
    <x v="39"/>
    <x v="1"/>
    <x v="1"/>
    <x v="1"/>
    <n v="87"/>
    <n v="17"/>
    <n v="21"/>
    <n v="23"/>
    <n v="72"/>
    <n v="133"/>
    <n v="0.83130000000000004"/>
    <x v="1"/>
    <x v="0"/>
  </r>
  <r>
    <s v="S041"/>
    <x v="40"/>
    <x v="0"/>
    <x v="2"/>
    <x v="2"/>
    <n v="62"/>
    <n v="10"/>
    <n v="14"/>
    <n v="16"/>
    <n v="42"/>
    <n v="82"/>
    <n v="0.51249999999999996"/>
    <x v="4"/>
    <x v="0"/>
  </r>
  <r>
    <s v="S042"/>
    <x v="41"/>
    <x v="1"/>
    <x v="2"/>
    <x v="0"/>
    <n v="94"/>
    <n v="19"/>
    <n v="23"/>
    <n v="24"/>
    <n v="80"/>
    <n v="146"/>
    <n v="0.91249999999999998"/>
    <x v="0"/>
    <x v="0"/>
  </r>
  <r>
    <s v="S043"/>
    <x v="42"/>
    <x v="0"/>
    <x v="2"/>
    <x v="1"/>
    <n v="75"/>
    <n v="14"/>
    <n v="18"/>
    <n v="20"/>
    <n v="58"/>
    <n v="110"/>
    <n v="0.6875"/>
    <x v="3"/>
    <x v="0"/>
  </r>
  <r>
    <s v="S044"/>
    <x v="43"/>
    <x v="1"/>
    <x v="2"/>
    <x v="2"/>
    <n v="89"/>
    <n v="18"/>
    <n v="22"/>
    <n v="23"/>
    <n v="75"/>
    <n v="138"/>
    <n v="0.86250000000000004"/>
    <x v="1"/>
    <x v="0"/>
  </r>
  <r>
    <s v="S045"/>
    <x v="44"/>
    <x v="0"/>
    <x v="2"/>
    <x v="0"/>
    <n v="67"/>
    <n v="12"/>
    <n v="16"/>
    <n v="18"/>
    <n v="47"/>
    <n v="93"/>
    <n v="0.58130000000000004"/>
    <x v="4"/>
    <x v="0"/>
  </r>
  <r>
    <s v="S046"/>
    <x v="45"/>
    <x v="1"/>
    <x v="2"/>
    <x v="1"/>
    <n v="96"/>
    <n v="20"/>
    <n v="24"/>
    <n v="25"/>
    <n v="86"/>
    <n v="155"/>
    <n v="0.96879999999999999"/>
    <x v="0"/>
    <x v="0"/>
  </r>
  <r>
    <s v="S047"/>
    <x v="46"/>
    <x v="0"/>
    <x v="0"/>
    <x v="2"/>
    <n v="79"/>
    <n v="15"/>
    <n v="19"/>
    <n v="21"/>
    <n v="62"/>
    <n v="117"/>
    <n v="0.73129999999999995"/>
    <x v="2"/>
    <x v="0"/>
  </r>
  <r>
    <s v="S048"/>
    <x v="47"/>
    <x v="1"/>
    <x v="1"/>
    <x v="0"/>
    <n v="85"/>
    <n v="17"/>
    <n v="21"/>
    <n v="22"/>
    <n v="70"/>
    <n v="130"/>
    <n v="0.8125"/>
    <x v="1"/>
    <x v="0"/>
  </r>
  <r>
    <s v="S049"/>
    <x v="48"/>
    <x v="1"/>
    <x v="2"/>
    <x v="1"/>
    <n v="93"/>
    <n v="19"/>
    <n v="23"/>
    <n v="24"/>
    <n v="83"/>
    <n v="149"/>
    <n v="0.93130000000000002"/>
    <x v="0"/>
    <x v="0"/>
  </r>
  <r>
    <s v="S050"/>
    <x v="49"/>
    <x v="0"/>
    <x v="0"/>
    <x v="2"/>
    <n v="58"/>
    <n v="10"/>
    <n v="13"/>
    <n v="15"/>
    <n v="39"/>
    <n v="77"/>
    <n v="0.48130000000000001"/>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EB398-12D4-4226-BAEA-4385EDC00ECD}"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I7:J58" firstHeaderRow="1" firstDataRow="1" firstDataCol="1"/>
  <pivotFields count="14">
    <pivotField showAll="0"/>
    <pivotField axis="axisRow" showAll="0" sortType="descending">
      <items count="51">
        <item x="0"/>
        <item x="38"/>
        <item x="23"/>
        <item x="4"/>
        <item x="18"/>
        <item x="44"/>
        <item x="47"/>
        <item x="1"/>
        <item x="31"/>
        <item x="10"/>
        <item x="32"/>
        <item x="11"/>
        <item x="49"/>
        <item x="30"/>
        <item x="3"/>
        <item x="34"/>
        <item x="13"/>
        <item x="37"/>
        <item x="16"/>
        <item x="26"/>
        <item x="40"/>
        <item x="19"/>
        <item x="29"/>
        <item x="27"/>
        <item x="15"/>
        <item x="22"/>
        <item x="6"/>
        <item x="17"/>
        <item x="28"/>
        <item x="39"/>
        <item x="7"/>
        <item x="12"/>
        <item x="9"/>
        <item x="2"/>
        <item x="42"/>
        <item x="35"/>
        <item x="36"/>
        <item x="21"/>
        <item x="45"/>
        <item x="25"/>
        <item x="41"/>
        <item x="14"/>
        <item x="48"/>
        <item x="33"/>
        <item x="5"/>
        <item x="20"/>
        <item x="46"/>
        <item x="43"/>
        <item x="24"/>
        <item x="8"/>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dataField="1" numFmtId="10" showAll="0"/>
    <pivotField showAll="0">
      <items count="7">
        <item x="1"/>
        <item x="0"/>
        <item x="3"/>
        <item x="2"/>
        <item x="4"/>
        <item x="5"/>
        <item t="default"/>
      </items>
    </pivotField>
    <pivotField showAll="0"/>
  </pivotFields>
  <rowFields count="1">
    <field x="1"/>
  </rowFields>
  <rowItems count="51">
    <i>
      <x v="22"/>
    </i>
    <i>
      <x v="32"/>
    </i>
    <i>
      <x v="38"/>
    </i>
    <i>
      <x v="21"/>
    </i>
    <i>
      <x v="17"/>
    </i>
    <i>
      <x v="14"/>
    </i>
    <i>
      <x v="42"/>
    </i>
    <i>
      <x v="43"/>
    </i>
    <i>
      <x v="24"/>
    </i>
    <i>
      <x v="37"/>
    </i>
    <i>
      <x v="40"/>
    </i>
    <i>
      <x v="11"/>
    </i>
    <i>
      <x/>
    </i>
    <i>
      <x v="39"/>
    </i>
    <i>
      <x v="35"/>
    </i>
    <i>
      <x v="44"/>
    </i>
    <i>
      <x v="47"/>
    </i>
    <i>
      <x v="27"/>
    </i>
    <i>
      <x v="2"/>
    </i>
    <i>
      <x v="16"/>
    </i>
    <i>
      <x v="7"/>
    </i>
    <i>
      <x v="29"/>
    </i>
    <i>
      <x v="23"/>
    </i>
    <i>
      <x v="6"/>
    </i>
    <i>
      <x v="30"/>
    </i>
    <i>
      <x v="45"/>
    </i>
    <i>
      <x v="3"/>
    </i>
    <i>
      <x v="8"/>
    </i>
    <i>
      <x v="9"/>
    </i>
    <i>
      <x v="33"/>
    </i>
    <i>
      <x v="10"/>
    </i>
    <i>
      <x v="41"/>
    </i>
    <i>
      <x v="46"/>
    </i>
    <i>
      <x v="48"/>
    </i>
    <i>
      <x v="36"/>
    </i>
    <i>
      <x v="34"/>
    </i>
    <i>
      <x v="49"/>
    </i>
    <i>
      <x v="18"/>
    </i>
    <i>
      <x v="28"/>
    </i>
    <i>
      <x v="26"/>
    </i>
    <i>
      <x v="1"/>
    </i>
    <i>
      <x v="25"/>
    </i>
    <i>
      <x v="13"/>
    </i>
    <i>
      <x v="31"/>
    </i>
    <i>
      <x v="19"/>
    </i>
    <i>
      <x v="5"/>
    </i>
    <i>
      <x v="4"/>
    </i>
    <i>
      <x v="15"/>
    </i>
    <i>
      <x v="20"/>
    </i>
    <i>
      <x v="12"/>
    </i>
    <i t="grand">
      <x/>
    </i>
  </rowItems>
  <colItems count="1">
    <i/>
  </colItems>
  <dataFields count="1">
    <dataField name="Max of Percentage" fld="11" subtotal="max"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A9177B-CB49-412C-B59E-F458CC9E5E77}"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I4:I5" firstHeaderRow="1" firstDataRow="1" firstDataCol="0"/>
  <pivotFields count="14">
    <pivotField showAll="0"/>
    <pivotField showAll="0"/>
    <pivotField showAll="0">
      <items count="3">
        <item x="1"/>
        <item x="0"/>
        <item t="default"/>
      </items>
    </pivotField>
    <pivotField showAll="0">
      <items count="4">
        <item x="0"/>
        <item x="1"/>
        <item x="2"/>
        <item t="default"/>
      </items>
    </pivotField>
    <pivotField showAll="0">
      <items count="4">
        <item x="1"/>
        <item x="0"/>
        <item x="2"/>
        <item t="default"/>
      </items>
    </pivotField>
    <pivotField dataField="1" showAll="0"/>
    <pivotField showAll="0"/>
    <pivotField showAll="0"/>
    <pivotField showAll="0"/>
    <pivotField showAll="0"/>
    <pivotField showAll="0"/>
    <pivotField numFmtId="10" showAll="0"/>
    <pivotField showAll="0">
      <items count="7">
        <item x="1"/>
        <item x="0"/>
        <item x="3"/>
        <item x="2"/>
        <item x="4"/>
        <item x="5"/>
        <item t="default"/>
      </items>
    </pivotField>
    <pivotField showAll="0"/>
  </pivotFields>
  <rowItems count="1">
    <i/>
  </rowItems>
  <colItems count="1">
    <i/>
  </colItems>
  <dataFields count="1">
    <dataField name="Average of Attendance %"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FF75F5-A054-4DB4-8402-429D5C14835B}" name="class by average p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B10" firstHeaderRow="1" firstDataRow="1" firstDataCol="1"/>
  <pivotFields count="14">
    <pivotField showAll="0"/>
    <pivotField showAll="0"/>
    <pivotField showAll="0">
      <items count="3">
        <item x="1"/>
        <item x="0"/>
        <item t="default"/>
      </items>
    </pivotField>
    <pivotField axis="axisRow"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dataField="1" numFmtId="10" showAll="0"/>
    <pivotField showAll="0">
      <items count="7">
        <item x="1"/>
        <item x="0"/>
        <item x="3"/>
        <item x="2"/>
        <item x="4"/>
        <item x="5"/>
        <item t="default"/>
      </items>
    </pivotField>
    <pivotField showAll="0"/>
  </pivotFields>
  <rowFields count="1">
    <field x="3"/>
  </rowFields>
  <rowItems count="4">
    <i>
      <x/>
    </i>
    <i>
      <x v="1"/>
    </i>
    <i>
      <x v="2"/>
    </i>
    <i t="grand">
      <x/>
    </i>
  </rowItems>
  <colItems count="1">
    <i/>
  </colItems>
  <dataFields count="1">
    <dataField name="Average of Percentage" fld="11" subtotal="average" baseField="3" baseItem="0" numFmtId="10"/>
  </dataField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B09ECB-DE53-482B-A583-9BD6447981AD}" name="Hight p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F4" firstHeaderRow="1" firstDataRow="1" firstDataCol="0"/>
  <pivotFields count="14">
    <pivotField showAll="0"/>
    <pivotField showAll="0"/>
    <pivotField showAll="0">
      <items count="3">
        <item x="1"/>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dataField="1" numFmtId="10" showAll="0"/>
    <pivotField showAll="0">
      <items count="7">
        <item x="1"/>
        <item x="0"/>
        <item x="3"/>
        <item x="2"/>
        <item x="4"/>
        <item x="5"/>
        <item t="default"/>
      </items>
    </pivotField>
    <pivotField showAll="0"/>
  </pivotFields>
  <rowItems count="1">
    <i/>
  </rowItems>
  <colItems count="1">
    <i/>
  </colItems>
  <dataFields count="1">
    <dataField name="Max of Percentage" fld="11" subtotal="max"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4702F-1F4C-4F3A-9D29-74A4976A580C}" name="average p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3:D7" firstHeaderRow="1" firstDataRow="1" firstDataCol="1"/>
  <pivotFields count="14">
    <pivotField showAll="0"/>
    <pivotField showAll="0"/>
    <pivotField showAll="0">
      <items count="3">
        <item x="1"/>
        <item x="0"/>
        <item t="default"/>
      </items>
    </pivotField>
    <pivotField showAll="0">
      <items count="4">
        <item x="0"/>
        <item x="1"/>
        <item x="2"/>
        <item t="default"/>
      </items>
    </pivotField>
    <pivotField axis="axisRow" showAll="0">
      <items count="4">
        <item x="1"/>
        <item x="0"/>
        <item x="2"/>
        <item t="default"/>
      </items>
    </pivotField>
    <pivotField showAll="0"/>
    <pivotField showAll="0"/>
    <pivotField showAll="0"/>
    <pivotField showAll="0"/>
    <pivotField showAll="0"/>
    <pivotField showAll="0"/>
    <pivotField dataField="1" numFmtId="10" showAll="0"/>
    <pivotField showAll="0">
      <items count="7">
        <item x="1"/>
        <item x="0"/>
        <item x="3"/>
        <item x="2"/>
        <item x="4"/>
        <item x="5"/>
        <item t="default"/>
      </items>
    </pivotField>
    <pivotField showAll="0"/>
  </pivotFields>
  <rowFields count="1">
    <field x="4"/>
  </rowFields>
  <rowItems count="4">
    <i>
      <x/>
    </i>
    <i>
      <x v="1"/>
    </i>
    <i>
      <x v="2"/>
    </i>
    <i t="grand">
      <x/>
    </i>
  </rowItems>
  <colItems count="1">
    <i/>
  </colItems>
  <dataFields count="1">
    <dataField name="Average of Percentage" fld="11" subtotal="average" baseField="4" baseItem="0" numFmtId="1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C96687-05EE-4F81-876B-F878DD194963}"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6:G9" firstHeaderRow="1" firstDataRow="1" firstDataCol="1"/>
  <pivotFields count="14">
    <pivotField dataField="1" showAll="0"/>
    <pivotField showAll="0"/>
    <pivotField axis="axisRow" showAll="0">
      <items count="3">
        <item x="1"/>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numFmtId="10" showAll="0"/>
    <pivotField showAll="0">
      <items count="7">
        <item x="1"/>
        <item x="0"/>
        <item x="3"/>
        <item x="2"/>
        <item x="4"/>
        <item x="5"/>
        <item t="default"/>
      </items>
    </pivotField>
    <pivotField showAll="0"/>
  </pivotFields>
  <rowFields count="1">
    <field x="2"/>
  </rowFields>
  <rowItems count="3">
    <i>
      <x/>
    </i>
    <i>
      <x v="1"/>
    </i>
    <i t="grand">
      <x/>
    </i>
  </rowItems>
  <colItems count="1">
    <i/>
  </colItems>
  <dataFields count="1">
    <dataField name="Count of Student ID" fld="0" subtotal="count" baseField="0" baseItem="0"/>
  </dataFields>
  <chartFormats count="7">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D1D2F5-DE6E-4BCC-8929-F31F73DC59E1}" name="total stu"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A4" firstHeaderRow="1" firstDataRow="1" firstDataCol="0"/>
  <pivotFields count="14">
    <pivotField dataField="1" showAll="0"/>
    <pivotField showAll="0"/>
    <pivotField showAll="0">
      <items count="3">
        <item x="1"/>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numFmtId="10" showAll="0"/>
    <pivotField showAll="0">
      <items count="7">
        <item x="1"/>
        <item x="0"/>
        <item x="3"/>
        <item x="2"/>
        <item x="4"/>
        <item x="5"/>
        <item t="default"/>
      </items>
    </pivotField>
    <pivotField showAll="0"/>
  </pivotFields>
  <rowItems count="1">
    <i/>
  </rowItems>
  <colItems count="1">
    <i/>
  </colItems>
  <dataFields count="1">
    <dataField name="Count of Student I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4F6D52-F8F6-4AA1-A608-19DDAB1B78B1}" name="grade 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10" firstHeaderRow="1" firstDataRow="1" firstDataCol="1"/>
  <pivotFields count="14">
    <pivotField dataField="1" showAll="0"/>
    <pivotField showAll="0"/>
    <pivotField showAll="0">
      <items count="3">
        <item x="1"/>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numFmtId="10" showAll="0"/>
    <pivotField axis="axisRow" showAll="0">
      <items count="7">
        <item x="1"/>
        <item x="0"/>
        <item x="3"/>
        <item x="2"/>
        <item x="4"/>
        <item x="5"/>
        <item t="default"/>
      </items>
    </pivotField>
    <pivotField showAll="0"/>
  </pivotFields>
  <rowFields count="1">
    <field x="12"/>
  </rowFields>
  <rowItems count="7">
    <i>
      <x/>
    </i>
    <i>
      <x v="1"/>
    </i>
    <i>
      <x v="2"/>
    </i>
    <i>
      <x v="3"/>
    </i>
    <i>
      <x v="4"/>
    </i>
    <i>
      <x v="5"/>
    </i>
    <i t="grand">
      <x/>
    </i>
  </rowItems>
  <colItems count="1">
    <i/>
  </colItems>
  <dataFields count="1">
    <dataField name="Count of Student ID" fld="0" subtotal="count" baseField="12" baseItem="0"/>
  </dataFields>
  <chartFormats count="3">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79994442-FF3F-4AE7-BA82-6666A49AD5A2}" sourceName="Class">
  <pivotTables>
    <pivotTable tabId="3" name="total stu"/>
    <pivotTable tabId="3" name="average per"/>
    <pivotTable tabId="3" name="class by average per"/>
    <pivotTable tabId="3" name="grade wise"/>
    <pivotTable tabId="3" name="Hight per"/>
    <pivotTable tabId="3" name="PivotTable20"/>
    <pivotTable tabId="3" name="PivotTable1"/>
    <pivotTable tabId="3" name="PivotTable2"/>
  </pivotTables>
  <data>
    <tabular pivotCacheId="12675950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14B505-5F20-45A8-A008-EA7DF40DBB10}" sourceName="Gender">
  <pivotTables>
    <pivotTable tabId="3" name="class by average per"/>
    <pivotTable tabId="3" name="average per"/>
    <pivotTable tabId="3" name="grade wise"/>
    <pivotTable tabId="3" name="Hight per"/>
    <pivotTable tabId="3" name="total stu"/>
    <pivotTable tabId="3" name="PivotTable20"/>
    <pivotTable tabId="3" name="PivotTable1"/>
    <pivotTable tabId="3" name="PivotTable2"/>
  </pivotTables>
  <data>
    <tabular pivotCacheId="126759503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337BACCF-CCAB-4937-86CE-EAEB26A58E7A}" sourceName="Subject">
  <pivotTables>
    <pivotTable tabId="3" name="total stu"/>
    <pivotTable tabId="3" name="average per"/>
    <pivotTable tabId="3" name="class by average per"/>
    <pivotTable tabId="3" name="grade wise"/>
    <pivotTable tabId="3" name="Hight per"/>
    <pivotTable tabId="3" name="PivotTable20"/>
    <pivotTable tabId="3" name="PivotTable1"/>
    <pivotTable tabId="3" name="PivotTable2"/>
  </pivotTables>
  <data>
    <tabular pivotCacheId="126759503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4DC25677-F09B-405E-BE8A-F7E7E385D3F0}" sourceName="Grade">
  <pivotTables>
    <pivotTable tabId="3" name="total stu"/>
    <pivotTable tabId="3" name="average per"/>
    <pivotTable tabId="3" name="class by average per"/>
    <pivotTable tabId="3" name="grade wise"/>
    <pivotTable tabId="3" name="Hight per"/>
    <pivotTable tabId="3" name="PivotTable20"/>
    <pivotTable tabId="3" name="PivotTable1"/>
    <pivotTable tabId="3" name="PivotTable2"/>
  </pivotTables>
  <data>
    <tabular pivotCacheId="1267595031">
      <items count="6">
        <i x="1" s="1"/>
        <i x="0" s="1"/>
        <i x="3"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917CC969-64D8-4085-B90C-8751DF9F713D}" cache="Slicer_Class" caption="Class" style="SlicerStyleLight2" rowHeight="247650"/>
  <slicer name="Gender" xr10:uid="{26FB7443-5512-4228-ADBC-5165A0F1E43E}" cache="Slicer_Gender" caption="Gender" style="SlicerStyleLight2" rowHeight="247650"/>
  <slicer name="Subject" xr10:uid="{3BEF490B-C931-4A37-95F1-9C7550A22D84}" cache="Slicer_Subject" caption="Subject" style="SlicerStyleLight2" rowHeight="247650"/>
  <slicer name="Grade" xr10:uid="{501EBB90-CC3C-4BB6-9DF2-A59549CA4599}" cache="Slicer_Grade" caption="Grade"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6441F679-79C3-4C3F-887E-A46FDCD70882}" cache="Slicer_Class" caption="Class" style="SlicerStyleLight2" rowHeight="247650"/>
  <slicer name="Gender 1" xr10:uid="{9A1BAE02-B48D-4271-944B-F2C97640D128}" cache="Slicer_Gender" caption="Gender" style="SlicerStyleLight2" rowHeight="247650"/>
  <slicer name="Subject 1" xr10:uid="{EF2FFDC7-C40D-4D76-89F4-BF7B20011C24}" cache="Slicer_Subject" caption="Subject" style="SlicerStyleLight2" rowHeight="247650"/>
  <slicer name="Grade 1" xr10:uid="{5C140298-8735-490C-91B3-39734993C872}" cache="Slicer_Grade" caption="Grade"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C836-97A2-46BD-95EE-050C77E7D220}">
  <dimension ref="A2:L58"/>
  <sheetViews>
    <sheetView topLeftCell="B1" workbookViewId="0">
      <selection activeCell="D13" sqref="D13"/>
    </sheetView>
  </sheetViews>
  <sheetFormatPr defaultRowHeight="14.4" x14ac:dyDescent="0.3"/>
  <cols>
    <col min="1" max="1" width="12.44140625" bestFit="1" customWidth="1"/>
    <col min="2" max="2" width="19.33203125" bestFit="1" customWidth="1"/>
    <col min="3" max="3" width="12.44140625" bestFit="1" customWidth="1"/>
    <col min="4" max="4" width="19.33203125" bestFit="1" customWidth="1"/>
    <col min="6" max="6" width="12.44140625" bestFit="1" customWidth="1"/>
    <col min="7" max="7" width="16.88671875" bestFit="1" customWidth="1"/>
    <col min="8" max="8" width="12.44140625" bestFit="1" customWidth="1"/>
    <col min="9" max="9" width="20.77734375" customWidth="1"/>
    <col min="10" max="10" width="16.88671875" bestFit="1" customWidth="1"/>
    <col min="11" max="11" width="12.44140625" bestFit="1" customWidth="1"/>
    <col min="12" max="12" width="16.88671875" bestFit="1" customWidth="1"/>
  </cols>
  <sheetData>
    <row r="2" spans="1:12" x14ac:dyDescent="0.3">
      <c r="L2" t="s">
        <v>135</v>
      </c>
    </row>
    <row r="3" spans="1:12" x14ac:dyDescent="0.3">
      <c r="A3" t="s">
        <v>130</v>
      </c>
      <c r="C3" s="8" t="s">
        <v>131</v>
      </c>
      <c r="D3" t="s">
        <v>133</v>
      </c>
      <c r="F3" t="s">
        <v>134</v>
      </c>
      <c r="K3" s="8" t="s">
        <v>131</v>
      </c>
      <c r="L3" t="s">
        <v>130</v>
      </c>
    </row>
    <row r="4" spans="1:12" x14ac:dyDescent="0.3">
      <c r="A4" s="12">
        <v>50</v>
      </c>
      <c r="C4" s="9" t="s">
        <v>27</v>
      </c>
      <c r="D4" s="5">
        <v>0.81876875000000005</v>
      </c>
      <c r="F4" s="5">
        <v>0.98750000000000004</v>
      </c>
      <c r="I4" t="s">
        <v>140</v>
      </c>
      <c r="K4" s="9" t="s">
        <v>24</v>
      </c>
      <c r="L4" s="12">
        <v>12</v>
      </c>
    </row>
    <row r="5" spans="1:12" x14ac:dyDescent="0.3">
      <c r="B5" t="s">
        <v>136</v>
      </c>
      <c r="C5" s="9" t="s">
        <v>18</v>
      </c>
      <c r="D5" s="5">
        <v>0.80002777777777789</v>
      </c>
      <c r="I5" s="12">
        <v>81.900000000000006</v>
      </c>
      <c r="K5" s="9" t="s">
        <v>19</v>
      </c>
      <c r="L5" s="12">
        <v>13</v>
      </c>
    </row>
    <row r="6" spans="1:12" x14ac:dyDescent="0.3">
      <c r="A6" s="8" t="s">
        <v>131</v>
      </c>
      <c r="B6" t="s">
        <v>133</v>
      </c>
      <c r="C6" s="9" t="s">
        <v>33</v>
      </c>
      <c r="D6" s="5">
        <v>0.7152624999999998</v>
      </c>
      <c r="F6" s="8" t="s">
        <v>131</v>
      </c>
      <c r="G6" t="s">
        <v>130</v>
      </c>
      <c r="K6" s="9" t="s">
        <v>38</v>
      </c>
      <c r="L6" s="12">
        <v>9</v>
      </c>
    </row>
    <row r="7" spans="1:12" x14ac:dyDescent="0.3">
      <c r="A7" s="9" t="s">
        <v>17</v>
      </c>
      <c r="B7" s="5">
        <v>0.77190555555555551</v>
      </c>
      <c r="C7" s="9" t="s">
        <v>132</v>
      </c>
      <c r="D7" s="5">
        <v>0.77890000000000004</v>
      </c>
      <c r="F7" s="9" t="s">
        <v>23</v>
      </c>
      <c r="G7" s="12">
        <v>25</v>
      </c>
      <c r="I7" s="8" t="s">
        <v>131</v>
      </c>
      <c r="J7" t="s">
        <v>134</v>
      </c>
      <c r="K7" s="9" t="s">
        <v>28</v>
      </c>
      <c r="L7" s="12">
        <v>9</v>
      </c>
    </row>
    <row r="8" spans="1:12" x14ac:dyDescent="0.3">
      <c r="A8" s="9" t="s">
        <v>47</v>
      </c>
      <c r="B8" s="5">
        <v>0.78335333333333323</v>
      </c>
      <c r="F8" s="9" t="s">
        <v>16</v>
      </c>
      <c r="G8" s="12">
        <v>25</v>
      </c>
      <c r="I8" s="9" t="s">
        <v>87</v>
      </c>
      <c r="J8" s="5">
        <v>0.98750000000000004</v>
      </c>
      <c r="K8" s="9" t="s">
        <v>52</v>
      </c>
      <c r="L8" s="12">
        <v>6</v>
      </c>
    </row>
    <row r="9" spans="1:12" x14ac:dyDescent="0.3">
      <c r="A9" s="9" t="s">
        <v>69</v>
      </c>
      <c r="B9" s="5">
        <v>0.78237647058823523</v>
      </c>
      <c r="F9" s="9" t="s">
        <v>132</v>
      </c>
      <c r="G9" s="12">
        <v>50</v>
      </c>
      <c r="I9" s="9" t="s">
        <v>44</v>
      </c>
      <c r="J9" s="5">
        <v>0.98129999999999995</v>
      </c>
      <c r="K9" s="9" t="s">
        <v>128</v>
      </c>
      <c r="L9" s="12">
        <v>1</v>
      </c>
    </row>
    <row r="10" spans="1:12" x14ac:dyDescent="0.3">
      <c r="A10" s="9" t="s">
        <v>132</v>
      </c>
      <c r="B10" s="5">
        <v>0.77890000000000004</v>
      </c>
      <c r="I10" s="9" t="s">
        <v>119</v>
      </c>
      <c r="J10" s="5">
        <v>0.96879999999999999</v>
      </c>
      <c r="K10" s="9" t="s">
        <v>132</v>
      </c>
      <c r="L10" s="12">
        <v>50</v>
      </c>
    </row>
    <row r="11" spans="1:12" x14ac:dyDescent="0.3">
      <c r="G11" t="s">
        <v>142</v>
      </c>
      <c r="I11" s="9" t="s">
        <v>66</v>
      </c>
      <c r="J11" s="5">
        <v>0.96250000000000002</v>
      </c>
    </row>
    <row r="12" spans="1:12" x14ac:dyDescent="0.3">
      <c r="G12" s="14" t="str">
        <f>IFERROR(INDEX(I:I,MATCH(MAX(J:J),J:J,0))&amp;" - " &amp;TEXT(MAX(J:J),"0.00%"),"NO STUDENT")</f>
        <v>Mitali - 98.75%</v>
      </c>
      <c r="I12" s="9" t="s">
        <v>103</v>
      </c>
      <c r="J12" s="5">
        <v>0.95</v>
      </c>
    </row>
    <row r="13" spans="1:12" x14ac:dyDescent="0.3">
      <c r="B13" t="s">
        <v>137</v>
      </c>
      <c r="D13" t="s">
        <v>138</v>
      </c>
      <c r="F13" t="s">
        <v>139</v>
      </c>
      <c r="I13" s="9" t="s">
        <v>30</v>
      </c>
      <c r="J13" s="5">
        <v>0.9375</v>
      </c>
    </row>
    <row r="14" spans="1:12" x14ac:dyDescent="0.3">
      <c r="B14">
        <f>GETPIVOTDATA("Student ID",$A$3)</f>
        <v>50</v>
      </c>
      <c r="D14" s="10">
        <f>GETPIVOTDATA("Percentage",$C$3)</f>
        <v>0.77890000000000004</v>
      </c>
      <c r="F14" s="10">
        <f>GETPIVOTDATA("Percentage",$F$3)</f>
        <v>0.98750000000000004</v>
      </c>
      <c r="H14" s="11"/>
      <c r="I14" s="9" t="s">
        <v>125</v>
      </c>
      <c r="J14" s="5">
        <v>0.93130000000000002</v>
      </c>
    </row>
    <row r="15" spans="1:12" x14ac:dyDescent="0.3">
      <c r="I15" s="9" t="s">
        <v>95</v>
      </c>
      <c r="J15" s="5">
        <v>0.92500000000000004</v>
      </c>
    </row>
    <row r="16" spans="1:12" x14ac:dyDescent="0.3">
      <c r="F16" t="s">
        <v>141</v>
      </c>
      <c r="I16" s="9" t="s">
        <v>58</v>
      </c>
      <c r="J16" s="5">
        <v>0.91879999999999995</v>
      </c>
    </row>
    <row r="17" spans="6:10" x14ac:dyDescent="0.3">
      <c r="F17" s="13">
        <f>GETPIVOTDATA("Attendance %",$I$4)</f>
        <v>81.900000000000006</v>
      </c>
      <c r="I17" s="9" t="s">
        <v>71</v>
      </c>
      <c r="J17" s="5">
        <v>0.91249999999999998</v>
      </c>
    </row>
    <row r="18" spans="6:10" x14ac:dyDescent="0.3">
      <c r="I18" s="9" t="s">
        <v>111</v>
      </c>
      <c r="J18" s="5">
        <v>0.91249999999999998</v>
      </c>
    </row>
    <row r="19" spans="6:10" x14ac:dyDescent="0.3">
      <c r="I19" s="9" t="s">
        <v>49</v>
      </c>
      <c r="J19" s="5">
        <v>0.9</v>
      </c>
    </row>
    <row r="20" spans="6:10" x14ac:dyDescent="0.3">
      <c r="I20" s="9" t="s">
        <v>15</v>
      </c>
      <c r="J20" s="5">
        <v>0.89380000000000004</v>
      </c>
    </row>
    <row r="21" spans="6:10" x14ac:dyDescent="0.3">
      <c r="I21" s="9" t="s">
        <v>79</v>
      </c>
      <c r="J21" s="5">
        <v>0.88129999999999997</v>
      </c>
    </row>
    <row r="22" spans="6:10" x14ac:dyDescent="0.3">
      <c r="I22" s="9" t="s">
        <v>99</v>
      </c>
      <c r="J22" s="5">
        <v>0.875</v>
      </c>
    </row>
    <row r="23" spans="6:10" x14ac:dyDescent="0.3">
      <c r="I23" s="9" t="s">
        <v>35</v>
      </c>
      <c r="J23" s="5">
        <v>0.86880000000000002</v>
      </c>
    </row>
    <row r="24" spans="6:10" x14ac:dyDescent="0.3">
      <c r="I24" s="9" t="s">
        <v>115</v>
      </c>
      <c r="J24" s="5">
        <v>0.86250000000000004</v>
      </c>
    </row>
    <row r="25" spans="6:10" x14ac:dyDescent="0.3">
      <c r="I25" s="9" t="s">
        <v>62</v>
      </c>
      <c r="J25" s="5">
        <v>0.86250000000000004</v>
      </c>
    </row>
    <row r="26" spans="6:10" x14ac:dyDescent="0.3">
      <c r="I26" s="9" t="s">
        <v>75</v>
      </c>
      <c r="J26" s="5">
        <v>0.84379999999999999</v>
      </c>
    </row>
    <row r="27" spans="6:10" x14ac:dyDescent="0.3">
      <c r="I27" s="9" t="s">
        <v>54</v>
      </c>
      <c r="J27" s="5">
        <v>0.84379999999999999</v>
      </c>
    </row>
    <row r="28" spans="6:10" x14ac:dyDescent="0.3">
      <c r="I28" s="9" t="s">
        <v>22</v>
      </c>
      <c r="J28" s="5">
        <v>0.83130000000000004</v>
      </c>
    </row>
    <row r="29" spans="6:10" x14ac:dyDescent="0.3">
      <c r="I29" s="9" t="s">
        <v>107</v>
      </c>
      <c r="J29" s="5">
        <v>0.83130000000000004</v>
      </c>
    </row>
    <row r="30" spans="6:10" x14ac:dyDescent="0.3">
      <c r="I30" s="9" t="s">
        <v>83</v>
      </c>
      <c r="J30" s="5">
        <v>0.81879999999999997</v>
      </c>
    </row>
    <row r="31" spans="6:10" x14ac:dyDescent="0.3">
      <c r="I31" s="9" t="s">
        <v>123</v>
      </c>
      <c r="J31" s="5">
        <v>0.8125</v>
      </c>
    </row>
    <row r="32" spans="6:10" x14ac:dyDescent="0.3">
      <c r="I32" s="9" t="s">
        <v>40</v>
      </c>
      <c r="J32" s="5">
        <v>0.8125</v>
      </c>
    </row>
    <row r="33" spans="9:10" x14ac:dyDescent="0.3">
      <c r="I33" s="9" t="s">
        <v>68</v>
      </c>
      <c r="J33" s="5">
        <v>0.79379999999999995</v>
      </c>
    </row>
    <row r="34" spans="9:10" x14ac:dyDescent="0.3">
      <c r="I34" s="9" t="s">
        <v>32</v>
      </c>
      <c r="J34" s="5">
        <v>0.78749999999999998</v>
      </c>
    </row>
    <row r="35" spans="9:10" x14ac:dyDescent="0.3">
      <c r="I35" s="9" t="s">
        <v>91</v>
      </c>
      <c r="J35" s="5">
        <v>0.77500000000000002</v>
      </c>
    </row>
    <row r="36" spans="9:10" x14ac:dyDescent="0.3">
      <c r="I36" s="9" t="s">
        <v>46</v>
      </c>
      <c r="J36" s="5">
        <v>0.77500000000000002</v>
      </c>
    </row>
    <row r="37" spans="9:10" x14ac:dyDescent="0.3">
      <c r="I37" s="9" t="s">
        <v>26</v>
      </c>
      <c r="J37" s="5">
        <v>0.75</v>
      </c>
    </row>
    <row r="38" spans="9:10" x14ac:dyDescent="0.3">
      <c r="I38" s="9" t="s">
        <v>93</v>
      </c>
      <c r="J38" s="5">
        <v>0.74380000000000002</v>
      </c>
    </row>
    <row r="39" spans="9:10" x14ac:dyDescent="0.3">
      <c r="I39" s="9" t="s">
        <v>56</v>
      </c>
      <c r="J39" s="5">
        <v>0.73750000000000004</v>
      </c>
    </row>
    <row r="40" spans="9:10" x14ac:dyDescent="0.3">
      <c r="I40" s="9" t="s">
        <v>121</v>
      </c>
      <c r="J40" s="5">
        <v>0.73129999999999995</v>
      </c>
    </row>
    <row r="41" spans="9:10" x14ac:dyDescent="0.3">
      <c r="I41" s="9" t="s">
        <v>77</v>
      </c>
      <c r="J41" s="5">
        <v>0.71250000000000002</v>
      </c>
    </row>
    <row r="42" spans="9:10" x14ac:dyDescent="0.3">
      <c r="I42" s="9" t="s">
        <v>101</v>
      </c>
      <c r="J42" s="5">
        <v>0.69379999999999997</v>
      </c>
    </row>
    <row r="43" spans="9:10" x14ac:dyDescent="0.3">
      <c r="I43" s="9" t="s">
        <v>113</v>
      </c>
      <c r="J43" s="5">
        <v>0.6875</v>
      </c>
    </row>
    <row r="44" spans="9:10" x14ac:dyDescent="0.3">
      <c r="I44" s="9" t="s">
        <v>42</v>
      </c>
      <c r="J44" s="5">
        <v>0.68130000000000002</v>
      </c>
    </row>
    <row r="45" spans="9:10" x14ac:dyDescent="0.3">
      <c r="I45" s="9" t="s">
        <v>60</v>
      </c>
      <c r="J45" s="5">
        <v>0.68130000000000002</v>
      </c>
    </row>
    <row r="46" spans="9:10" x14ac:dyDescent="0.3">
      <c r="I46" s="9" t="s">
        <v>85</v>
      </c>
      <c r="J46" s="5">
        <v>0.67500000000000004</v>
      </c>
    </row>
    <row r="47" spans="9:10" x14ac:dyDescent="0.3">
      <c r="I47" s="9" t="s">
        <v>37</v>
      </c>
      <c r="J47" s="5">
        <v>0.65629999999999999</v>
      </c>
    </row>
    <row r="48" spans="9:10" x14ac:dyDescent="0.3">
      <c r="I48" s="9" t="s">
        <v>105</v>
      </c>
      <c r="J48" s="5">
        <v>0.63749999999999996</v>
      </c>
    </row>
    <row r="49" spans="9:10" x14ac:dyDescent="0.3">
      <c r="I49" s="9" t="s">
        <v>73</v>
      </c>
      <c r="J49" s="5">
        <v>0.63129999999999997</v>
      </c>
    </row>
    <row r="50" spans="9:10" x14ac:dyDescent="0.3">
      <c r="I50" s="9" t="s">
        <v>89</v>
      </c>
      <c r="J50" s="5">
        <v>0.61880000000000002</v>
      </c>
    </row>
    <row r="51" spans="9:10" x14ac:dyDescent="0.3">
      <c r="I51" s="9" t="s">
        <v>51</v>
      </c>
      <c r="J51" s="5">
        <v>0.59379999999999999</v>
      </c>
    </row>
    <row r="52" spans="9:10" x14ac:dyDescent="0.3">
      <c r="I52" s="9" t="s">
        <v>81</v>
      </c>
      <c r="J52" s="5">
        <v>0.58750000000000002</v>
      </c>
    </row>
    <row r="53" spans="9:10" x14ac:dyDescent="0.3">
      <c r="I53" s="9" t="s">
        <v>117</v>
      </c>
      <c r="J53" s="5">
        <v>0.58130000000000004</v>
      </c>
    </row>
    <row r="54" spans="9:10" x14ac:dyDescent="0.3">
      <c r="I54" s="9" t="s">
        <v>64</v>
      </c>
      <c r="J54" s="5">
        <v>0.55000000000000004</v>
      </c>
    </row>
    <row r="55" spans="9:10" x14ac:dyDescent="0.3">
      <c r="I55" s="9" t="s">
        <v>97</v>
      </c>
      <c r="J55" s="5">
        <v>0.54379999999999995</v>
      </c>
    </row>
    <row r="56" spans="9:10" x14ac:dyDescent="0.3">
      <c r="I56" s="9" t="s">
        <v>109</v>
      </c>
      <c r="J56" s="5">
        <v>0.51249999999999996</v>
      </c>
    </row>
    <row r="57" spans="9:10" x14ac:dyDescent="0.3">
      <c r="I57" s="9" t="s">
        <v>127</v>
      </c>
      <c r="J57" s="5">
        <v>0.48130000000000001</v>
      </c>
    </row>
    <row r="58" spans="9:10" x14ac:dyDescent="0.3">
      <c r="I58" s="9" t="s">
        <v>132</v>
      </c>
      <c r="J58" s="5">
        <v>0.98750000000000004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CDF8-370B-4464-B49E-4050A74CFBCE}">
  <dimension ref="A1"/>
  <sheetViews>
    <sheetView tabSelected="1" workbookViewId="0">
      <selection activeCell="E45" sqref="E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61DB-AFE6-449D-B1AB-1AA0BDC60575}">
  <dimension ref="A1:N51"/>
  <sheetViews>
    <sheetView workbookViewId="0">
      <selection activeCell="P10" sqref="P10"/>
    </sheetView>
  </sheetViews>
  <sheetFormatPr defaultRowHeight="14.4" x14ac:dyDescent="0.3"/>
  <cols>
    <col min="6" max="6" width="11.77734375" customWidth="1"/>
    <col min="7" max="7" width="11.5546875" customWidth="1"/>
    <col min="12" max="12" width="11.109375" customWidth="1"/>
  </cols>
  <sheetData>
    <row r="1" spans="1:14" ht="28.8" x14ac:dyDescent="0.3">
      <c r="A1" s="1" t="s">
        <v>0</v>
      </c>
      <c r="B1" s="1" t="s">
        <v>1</v>
      </c>
      <c r="C1" s="1" t="s">
        <v>2</v>
      </c>
      <c r="D1" s="1" t="s">
        <v>3</v>
      </c>
      <c r="E1" s="1" t="s">
        <v>4</v>
      </c>
      <c r="F1" s="3" t="s">
        <v>5</v>
      </c>
      <c r="G1" s="3" t="s">
        <v>6</v>
      </c>
      <c r="H1" s="3" t="s">
        <v>7</v>
      </c>
      <c r="I1" s="3" t="s">
        <v>8</v>
      </c>
      <c r="J1" s="3" t="s">
        <v>9</v>
      </c>
      <c r="K1" s="3" t="s">
        <v>10</v>
      </c>
      <c r="L1" s="3" t="s">
        <v>11</v>
      </c>
      <c r="M1" s="1" t="s">
        <v>12</v>
      </c>
      <c r="N1" s="1" t="s">
        <v>13</v>
      </c>
    </row>
    <row r="2" spans="1:14" x14ac:dyDescent="0.3">
      <c r="A2" s="4" t="s">
        <v>14</v>
      </c>
      <c r="B2" s="4" t="s">
        <v>15</v>
      </c>
      <c r="C2" s="4" t="s">
        <v>16</v>
      </c>
      <c r="D2" s="4" t="s">
        <v>17</v>
      </c>
      <c r="E2" s="4" t="s">
        <v>18</v>
      </c>
      <c r="F2" s="2">
        <v>92</v>
      </c>
      <c r="G2" s="2">
        <v>18</v>
      </c>
      <c r="H2" s="2">
        <v>23</v>
      </c>
      <c r="I2" s="2">
        <v>24</v>
      </c>
      <c r="J2" s="2">
        <v>78</v>
      </c>
      <c r="K2" s="2">
        <v>143</v>
      </c>
      <c r="L2" s="6">
        <v>0.89380000000000004</v>
      </c>
      <c r="M2" s="4" t="s">
        <v>19</v>
      </c>
      <c r="N2" s="4" t="s">
        <v>20</v>
      </c>
    </row>
    <row r="3" spans="1:14" x14ac:dyDescent="0.3">
      <c r="A3" s="4" t="s">
        <v>21</v>
      </c>
      <c r="B3" s="4" t="s">
        <v>22</v>
      </c>
      <c r="C3" s="4" t="s">
        <v>23</v>
      </c>
      <c r="D3" s="4" t="s">
        <v>17</v>
      </c>
      <c r="E3" s="4" t="s">
        <v>18</v>
      </c>
      <c r="F3" s="2">
        <v>88</v>
      </c>
      <c r="G3" s="2">
        <v>17</v>
      </c>
      <c r="H3" s="2">
        <v>21</v>
      </c>
      <c r="I3" s="2">
        <v>23</v>
      </c>
      <c r="J3" s="2">
        <v>72</v>
      </c>
      <c r="K3" s="2">
        <v>133</v>
      </c>
      <c r="L3" s="6">
        <v>0.83130000000000004</v>
      </c>
      <c r="M3" s="4" t="s">
        <v>24</v>
      </c>
      <c r="N3" s="4" t="s">
        <v>20</v>
      </c>
    </row>
    <row r="4" spans="1:14" x14ac:dyDescent="0.3">
      <c r="A4" s="4" t="s">
        <v>25</v>
      </c>
      <c r="B4" s="4" t="s">
        <v>26</v>
      </c>
      <c r="C4" s="4" t="s">
        <v>16</v>
      </c>
      <c r="D4" s="4" t="s">
        <v>17</v>
      </c>
      <c r="E4" s="4" t="s">
        <v>27</v>
      </c>
      <c r="F4" s="2">
        <v>76</v>
      </c>
      <c r="G4" s="2">
        <v>15</v>
      </c>
      <c r="H4" s="2">
        <v>19</v>
      </c>
      <c r="I4" s="2">
        <v>21</v>
      </c>
      <c r="J4" s="2">
        <v>65</v>
      </c>
      <c r="K4" s="2">
        <v>120</v>
      </c>
      <c r="L4" s="6">
        <v>0.75</v>
      </c>
      <c r="M4" s="4" t="s">
        <v>28</v>
      </c>
      <c r="N4" s="4" t="s">
        <v>20</v>
      </c>
    </row>
    <row r="5" spans="1:14" x14ac:dyDescent="0.3">
      <c r="A5" s="4" t="s">
        <v>29</v>
      </c>
      <c r="B5" s="4" t="s">
        <v>30</v>
      </c>
      <c r="C5" s="4" t="s">
        <v>23</v>
      </c>
      <c r="D5" s="4" t="s">
        <v>17</v>
      </c>
      <c r="E5" s="4" t="s">
        <v>27</v>
      </c>
      <c r="F5" s="2">
        <v>95</v>
      </c>
      <c r="G5" s="2">
        <v>19</v>
      </c>
      <c r="H5" s="2">
        <v>24</v>
      </c>
      <c r="I5" s="2">
        <v>25</v>
      </c>
      <c r="J5" s="2">
        <v>82</v>
      </c>
      <c r="K5" s="2">
        <v>150</v>
      </c>
      <c r="L5" s="6">
        <v>0.9375</v>
      </c>
      <c r="M5" s="4" t="s">
        <v>19</v>
      </c>
      <c r="N5" s="4" t="s">
        <v>20</v>
      </c>
    </row>
    <row r="6" spans="1:14" x14ac:dyDescent="0.3">
      <c r="A6" s="4" t="s">
        <v>31</v>
      </c>
      <c r="B6" s="4" t="s">
        <v>32</v>
      </c>
      <c r="C6" s="4" t="s">
        <v>16</v>
      </c>
      <c r="D6" s="4" t="s">
        <v>17</v>
      </c>
      <c r="E6" s="4" t="s">
        <v>33</v>
      </c>
      <c r="F6" s="2">
        <v>81</v>
      </c>
      <c r="G6" s="2">
        <v>16</v>
      </c>
      <c r="H6" s="2">
        <v>20</v>
      </c>
      <c r="I6" s="2">
        <v>22</v>
      </c>
      <c r="J6" s="2">
        <v>68</v>
      </c>
      <c r="K6" s="2">
        <v>126</v>
      </c>
      <c r="L6" s="6">
        <v>0.78749999999999998</v>
      </c>
      <c r="M6" s="4" t="s">
        <v>28</v>
      </c>
      <c r="N6" s="4" t="s">
        <v>20</v>
      </c>
    </row>
    <row r="7" spans="1:14" x14ac:dyDescent="0.3">
      <c r="A7" s="4" t="s">
        <v>34</v>
      </c>
      <c r="B7" s="4" t="s">
        <v>35</v>
      </c>
      <c r="C7" s="4" t="s">
        <v>23</v>
      </c>
      <c r="D7" s="4" t="s">
        <v>17</v>
      </c>
      <c r="E7" s="4" t="s">
        <v>33</v>
      </c>
      <c r="F7" s="2">
        <v>90</v>
      </c>
      <c r="G7" s="2">
        <v>18</v>
      </c>
      <c r="H7" s="2">
        <v>22</v>
      </c>
      <c r="I7" s="2">
        <v>24</v>
      </c>
      <c r="J7" s="2">
        <v>75</v>
      </c>
      <c r="K7" s="2">
        <v>139</v>
      </c>
      <c r="L7" s="6">
        <v>0.86880000000000002</v>
      </c>
      <c r="M7" s="4" t="s">
        <v>24</v>
      </c>
      <c r="N7" s="4" t="s">
        <v>20</v>
      </c>
    </row>
    <row r="8" spans="1:14" x14ac:dyDescent="0.3">
      <c r="A8" s="4" t="s">
        <v>36</v>
      </c>
      <c r="B8" s="4" t="s">
        <v>37</v>
      </c>
      <c r="C8" s="4" t="s">
        <v>16</v>
      </c>
      <c r="D8" s="4" t="s">
        <v>17</v>
      </c>
      <c r="E8" s="4" t="s">
        <v>18</v>
      </c>
      <c r="F8" s="2">
        <v>68</v>
      </c>
      <c r="G8" s="2">
        <v>14</v>
      </c>
      <c r="H8" s="2">
        <v>17</v>
      </c>
      <c r="I8" s="2">
        <v>19</v>
      </c>
      <c r="J8" s="2">
        <v>55</v>
      </c>
      <c r="K8" s="2">
        <v>105</v>
      </c>
      <c r="L8" s="6">
        <v>0.65629999999999999</v>
      </c>
      <c r="M8" s="4" t="s">
        <v>38</v>
      </c>
      <c r="N8" s="4" t="s">
        <v>20</v>
      </c>
    </row>
    <row r="9" spans="1:14" x14ac:dyDescent="0.3">
      <c r="A9" s="4" t="s">
        <v>39</v>
      </c>
      <c r="B9" s="4" t="s">
        <v>40</v>
      </c>
      <c r="C9" s="4" t="s">
        <v>23</v>
      </c>
      <c r="D9" s="4" t="s">
        <v>17</v>
      </c>
      <c r="E9" s="4" t="s">
        <v>27</v>
      </c>
      <c r="F9" s="2">
        <v>85</v>
      </c>
      <c r="G9" s="2">
        <v>17</v>
      </c>
      <c r="H9" s="2">
        <v>21</v>
      </c>
      <c r="I9" s="2">
        <v>22</v>
      </c>
      <c r="J9" s="2">
        <v>70</v>
      </c>
      <c r="K9" s="2">
        <v>130</v>
      </c>
      <c r="L9" s="6">
        <v>0.8125</v>
      </c>
      <c r="M9" s="4" t="s">
        <v>24</v>
      </c>
      <c r="N9" s="4" t="s">
        <v>20</v>
      </c>
    </row>
    <row r="10" spans="1:14" x14ac:dyDescent="0.3">
      <c r="A10" s="4" t="s">
        <v>41</v>
      </c>
      <c r="B10" s="4" t="s">
        <v>42</v>
      </c>
      <c r="C10" s="4" t="s">
        <v>16</v>
      </c>
      <c r="D10" s="4" t="s">
        <v>17</v>
      </c>
      <c r="E10" s="4" t="s">
        <v>33</v>
      </c>
      <c r="F10" s="2">
        <v>72</v>
      </c>
      <c r="G10" s="2">
        <v>13</v>
      </c>
      <c r="H10" s="2">
        <v>18</v>
      </c>
      <c r="I10" s="2">
        <v>20</v>
      </c>
      <c r="J10" s="2">
        <v>58</v>
      </c>
      <c r="K10" s="2">
        <v>109</v>
      </c>
      <c r="L10" s="6">
        <v>0.68130000000000002</v>
      </c>
      <c r="M10" s="4" t="s">
        <v>38</v>
      </c>
      <c r="N10" s="4" t="s">
        <v>20</v>
      </c>
    </row>
    <row r="11" spans="1:14" x14ac:dyDescent="0.3">
      <c r="A11" s="4" t="s">
        <v>43</v>
      </c>
      <c r="B11" s="4" t="s">
        <v>44</v>
      </c>
      <c r="C11" s="4" t="s">
        <v>23</v>
      </c>
      <c r="D11" s="4" t="s">
        <v>17</v>
      </c>
      <c r="E11" s="4" t="s">
        <v>18</v>
      </c>
      <c r="F11" s="2">
        <v>97</v>
      </c>
      <c r="G11" s="2">
        <v>20</v>
      </c>
      <c r="H11" s="2">
        <v>24</v>
      </c>
      <c r="I11" s="2">
        <v>25</v>
      </c>
      <c r="J11" s="2">
        <v>88</v>
      </c>
      <c r="K11" s="2">
        <v>157</v>
      </c>
      <c r="L11" s="6">
        <v>0.98129999999999995</v>
      </c>
      <c r="M11" s="4" t="s">
        <v>19</v>
      </c>
      <c r="N11" s="4" t="s">
        <v>20</v>
      </c>
    </row>
    <row r="12" spans="1:14" x14ac:dyDescent="0.3">
      <c r="A12" s="4" t="s">
        <v>45</v>
      </c>
      <c r="B12" s="4" t="s">
        <v>46</v>
      </c>
      <c r="C12" s="4" t="s">
        <v>16</v>
      </c>
      <c r="D12" s="4" t="s">
        <v>47</v>
      </c>
      <c r="E12" s="4" t="s">
        <v>18</v>
      </c>
      <c r="F12" s="2">
        <v>82</v>
      </c>
      <c r="G12" s="2">
        <v>16</v>
      </c>
      <c r="H12" s="2">
        <v>20</v>
      </c>
      <c r="I12" s="2">
        <v>21</v>
      </c>
      <c r="J12" s="2">
        <v>67</v>
      </c>
      <c r="K12" s="2">
        <v>124</v>
      </c>
      <c r="L12" s="6">
        <v>0.77500000000000002</v>
      </c>
      <c r="M12" s="4" t="s">
        <v>28</v>
      </c>
      <c r="N12" s="4" t="s">
        <v>20</v>
      </c>
    </row>
    <row r="13" spans="1:14" x14ac:dyDescent="0.3">
      <c r="A13" s="4" t="s">
        <v>48</v>
      </c>
      <c r="B13" s="4" t="s">
        <v>49</v>
      </c>
      <c r="C13" s="4" t="s">
        <v>23</v>
      </c>
      <c r="D13" s="4" t="s">
        <v>47</v>
      </c>
      <c r="E13" s="4" t="s">
        <v>27</v>
      </c>
      <c r="F13" s="2">
        <v>91</v>
      </c>
      <c r="G13" s="2">
        <v>18</v>
      </c>
      <c r="H13" s="2">
        <v>23</v>
      </c>
      <c r="I13" s="2">
        <v>24</v>
      </c>
      <c r="J13" s="2">
        <v>79</v>
      </c>
      <c r="K13" s="2">
        <v>144</v>
      </c>
      <c r="L13" s="6">
        <v>0.9</v>
      </c>
      <c r="M13" s="4" t="s">
        <v>19</v>
      </c>
      <c r="N13" s="4" t="s">
        <v>20</v>
      </c>
    </row>
    <row r="14" spans="1:14" x14ac:dyDescent="0.3">
      <c r="A14" s="4" t="s">
        <v>50</v>
      </c>
      <c r="B14" s="4" t="s">
        <v>51</v>
      </c>
      <c r="C14" s="4" t="s">
        <v>16</v>
      </c>
      <c r="D14" s="4" t="s">
        <v>47</v>
      </c>
      <c r="E14" s="4" t="s">
        <v>33</v>
      </c>
      <c r="F14" s="2">
        <v>65</v>
      </c>
      <c r="G14" s="2">
        <v>12</v>
      </c>
      <c r="H14" s="2">
        <v>16</v>
      </c>
      <c r="I14" s="2">
        <v>18</v>
      </c>
      <c r="J14" s="2">
        <v>49</v>
      </c>
      <c r="K14" s="2">
        <v>95</v>
      </c>
      <c r="L14" s="6">
        <v>0.59379999999999999</v>
      </c>
      <c r="M14" s="4" t="s">
        <v>52</v>
      </c>
      <c r="N14" s="4" t="s">
        <v>20</v>
      </c>
    </row>
    <row r="15" spans="1:14" x14ac:dyDescent="0.3">
      <c r="A15" s="4" t="s">
        <v>53</v>
      </c>
      <c r="B15" s="4" t="s">
        <v>54</v>
      </c>
      <c r="C15" s="4" t="s">
        <v>23</v>
      </c>
      <c r="D15" s="4" t="s">
        <v>47</v>
      </c>
      <c r="E15" s="4" t="s">
        <v>18</v>
      </c>
      <c r="F15" s="2">
        <v>87</v>
      </c>
      <c r="G15" s="2">
        <v>17</v>
      </c>
      <c r="H15" s="2">
        <v>22</v>
      </c>
      <c r="I15" s="2">
        <v>23</v>
      </c>
      <c r="J15" s="2">
        <v>73</v>
      </c>
      <c r="K15" s="2">
        <v>135</v>
      </c>
      <c r="L15" s="6">
        <v>0.84379999999999999</v>
      </c>
      <c r="M15" s="4" t="s">
        <v>24</v>
      </c>
      <c r="N15" s="4" t="s">
        <v>20</v>
      </c>
    </row>
    <row r="16" spans="1:14" x14ac:dyDescent="0.3">
      <c r="A16" s="4" t="s">
        <v>55</v>
      </c>
      <c r="B16" s="4" t="s">
        <v>56</v>
      </c>
      <c r="C16" s="4" t="s">
        <v>16</v>
      </c>
      <c r="D16" s="4" t="s">
        <v>47</v>
      </c>
      <c r="E16" s="4" t="s">
        <v>27</v>
      </c>
      <c r="F16" s="2">
        <v>79</v>
      </c>
      <c r="G16" s="2">
        <v>15</v>
      </c>
      <c r="H16" s="2">
        <v>19</v>
      </c>
      <c r="I16" s="2">
        <v>21</v>
      </c>
      <c r="J16" s="2">
        <v>63</v>
      </c>
      <c r="K16" s="2">
        <v>118</v>
      </c>
      <c r="L16" s="6">
        <v>0.73750000000000004</v>
      </c>
      <c r="M16" s="4" t="s">
        <v>28</v>
      </c>
      <c r="N16" s="4" t="s">
        <v>20</v>
      </c>
    </row>
    <row r="17" spans="1:14" x14ac:dyDescent="0.3">
      <c r="A17" s="4" t="s">
        <v>57</v>
      </c>
      <c r="B17" s="4" t="s">
        <v>58</v>
      </c>
      <c r="C17" s="4" t="s">
        <v>23</v>
      </c>
      <c r="D17" s="4" t="s">
        <v>47</v>
      </c>
      <c r="E17" s="4" t="s">
        <v>33</v>
      </c>
      <c r="F17" s="2">
        <v>94</v>
      </c>
      <c r="G17" s="2">
        <v>19</v>
      </c>
      <c r="H17" s="2">
        <v>23</v>
      </c>
      <c r="I17" s="2">
        <v>24</v>
      </c>
      <c r="J17" s="2">
        <v>81</v>
      </c>
      <c r="K17" s="2">
        <v>147</v>
      </c>
      <c r="L17" s="6">
        <v>0.91879999999999995</v>
      </c>
      <c r="M17" s="4" t="s">
        <v>19</v>
      </c>
      <c r="N17" s="4" t="s">
        <v>20</v>
      </c>
    </row>
    <row r="18" spans="1:14" x14ac:dyDescent="0.3">
      <c r="A18" s="4" t="s">
        <v>59</v>
      </c>
      <c r="B18" s="4" t="s">
        <v>60</v>
      </c>
      <c r="C18" s="4" t="s">
        <v>16</v>
      </c>
      <c r="D18" s="4" t="s">
        <v>47</v>
      </c>
      <c r="E18" s="4" t="s">
        <v>18</v>
      </c>
      <c r="F18" s="2">
        <v>73</v>
      </c>
      <c r="G18" s="2">
        <v>14</v>
      </c>
      <c r="H18" s="2">
        <v>18</v>
      </c>
      <c r="I18" s="2">
        <v>20</v>
      </c>
      <c r="J18" s="2">
        <v>57</v>
      </c>
      <c r="K18" s="2">
        <v>109</v>
      </c>
      <c r="L18" s="6">
        <v>0.68130000000000002</v>
      </c>
      <c r="M18" s="4" t="s">
        <v>38</v>
      </c>
      <c r="N18" s="4" t="s">
        <v>20</v>
      </c>
    </row>
    <row r="19" spans="1:14" x14ac:dyDescent="0.3">
      <c r="A19" s="4" t="s">
        <v>61</v>
      </c>
      <c r="B19" s="4" t="s">
        <v>62</v>
      </c>
      <c r="C19" s="4" t="s">
        <v>23</v>
      </c>
      <c r="D19" s="4" t="s">
        <v>47</v>
      </c>
      <c r="E19" s="4" t="s">
        <v>27</v>
      </c>
      <c r="F19" s="2">
        <v>89</v>
      </c>
      <c r="G19" s="2">
        <v>18</v>
      </c>
      <c r="H19" s="2">
        <v>21</v>
      </c>
      <c r="I19" s="2">
        <v>23</v>
      </c>
      <c r="J19" s="2">
        <v>76</v>
      </c>
      <c r="K19" s="2">
        <v>138</v>
      </c>
      <c r="L19" s="6">
        <v>0.86250000000000004</v>
      </c>
      <c r="M19" s="4" t="s">
        <v>24</v>
      </c>
      <c r="N19" s="4" t="s">
        <v>20</v>
      </c>
    </row>
    <row r="20" spans="1:14" x14ac:dyDescent="0.3">
      <c r="A20" s="4" t="s">
        <v>63</v>
      </c>
      <c r="B20" s="4" t="s">
        <v>64</v>
      </c>
      <c r="C20" s="4" t="s">
        <v>16</v>
      </c>
      <c r="D20" s="4" t="s">
        <v>47</v>
      </c>
      <c r="E20" s="4" t="s">
        <v>33</v>
      </c>
      <c r="F20" s="2">
        <v>61</v>
      </c>
      <c r="G20" s="2">
        <v>11</v>
      </c>
      <c r="H20" s="2">
        <v>15</v>
      </c>
      <c r="I20" s="2">
        <v>17</v>
      </c>
      <c r="J20" s="2">
        <v>45</v>
      </c>
      <c r="K20" s="2">
        <v>88</v>
      </c>
      <c r="L20" s="6">
        <v>0.55000000000000004</v>
      </c>
      <c r="M20" s="4" t="s">
        <v>52</v>
      </c>
      <c r="N20" s="4" t="s">
        <v>20</v>
      </c>
    </row>
    <row r="21" spans="1:14" x14ac:dyDescent="0.3">
      <c r="A21" s="4" t="s">
        <v>65</v>
      </c>
      <c r="B21" s="4" t="s">
        <v>66</v>
      </c>
      <c r="C21" s="4" t="s">
        <v>23</v>
      </c>
      <c r="D21" s="4" t="s">
        <v>47</v>
      </c>
      <c r="E21" s="4" t="s">
        <v>18</v>
      </c>
      <c r="F21" s="2">
        <v>96</v>
      </c>
      <c r="G21" s="2">
        <v>20</v>
      </c>
      <c r="H21" s="2">
        <v>24</v>
      </c>
      <c r="I21" s="2">
        <v>25</v>
      </c>
      <c r="J21" s="2">
        <v>85</v>
      </c>
      <c r="K21" s="2">
        <v>154</v>
      </c>
      <c r="L21" s="6">
        <v>0.96250000000000002</v>
      </c>
      <c r="M21" s="4" t="s">
        <v>19</v>
      </c>
      <c r="N21" s="4" t="s">
        <v>20</v>
      </c>
    </row>
    <row r="22" spans="1:14" x14ac:dyDescent="0.3">
      <c r="A22" s="4" t="s">
        <v>67</v>
      </c>
      <c r="B22" s="4" t="s">
        <v>68</v>
      </c>
      <c r="C22" s="4" t="s">
        <v>16</v>
      </c>
      <c r="D22" s="4" t="s">
        <v>69</v>
      </c>
      <c r="E22" s="4" t="s">
        <v>18</v>
      </c>
      <c r="F22" s="2">
        <v>84</v>
      </c>
      <c r="G22" s="2">
        <v>16</v>
      </c>
      <c r="H22" s="2">
        <v>20</v>
      </c>
      <c r="I22" s="2">
        <v>22</v>
      </c>
      <c r="J22" s="2">
        <v>69</v>
      </c>
      <c r="K22" s="2">
        <v>127</v>
      </c>
      <c r="L22" s="6">
        <v>0.79379999999999995</v>
      </c>
      <c r="M22" s="4" t="s">
        <v>28</v>
      </c>
      <c r="N22" s="4" t="s">
        <v>20</v>
      </c>
    </row>
    <row r="23" spans="1:14" x14ac:dyDescent="0.3">
      <c r="A23" s="4" t="s">
        <v>70</v>
      </c>
      <c r="B23" s="4" t="s">
        <v>71</v>
      </c>
      <c r="C23" s="4" t="s">
        <v>23</v>
      </c>
      <c r="D23" s="4" t="s">
        <v>69</v>
      </c>
      <c r="E23" s="4" t="s">
        <v>27</v>
      </c>
      <c r="F23" s="2">
        <v>93</v>
      </c>
      <c r="G23" s="2">
        <v>19</v>
      </c>
      <c r="H23" s="2">
        <v>23</v>
      </c>
      <c r="I23" s="2">
        <v>24</v>
      </c>
      <c r="J23" s="2">
        <v>80</v>
      </c>
      <c r="K23" s="2">
        <v>146</v>
      </c>
      <c r="L23" s="6">
        <v>0.91249999999999998</v>
      </c>
      <c r="M23" s="4" t="s">
        <v>19</v>
      </c>
      <c r="N23" s="4" t="s">
        <v>20</v>
      </c>
    </row>
    <row r="24" spans="1:14" x14ac:dyDescent="0.3">
      <c r="A24" s="4" t="s">
        <v>72</v>
      </c>
      <c r="B24" s="4" t="s">
        <v>73</v>
      </c>
      <c r="C24" s="4" t="s">
        <v>16</v>
      </c>
      <c r="D24" s="4" t="s">
        <v>69</v>
      </c>
      <c r="E24" s="4" t="s">
        <v>33</v>
      </c>
      <c r="F24" s="2">
        <v>70</v>
      </c>
      <c r="G24" s="2">
        <v>13</v>
      </c>
      <c r="H24" s="2">
        <v>17</v>
      </c>
      <c r="I24" s="2">
        <v>19</v>
      </c>
      <c r="J24" s="2">
        <v>52</v>
      </c>
      <c r="K24" s="2">
        <v>101</v>
      </c>
      <c r="L24" s="6">
        <v>0.63129999999999997</v>
      </c>
      <c r="M24" s="4" t="s">
        <v>38</v>
      </c>
      <c r="N24" s="4" t="s">
        <v>20</v>
      </c>
    </row>
    <row r="25" spans="1:14" x14ac:dyDescent="0.3">
      <c r="A25" s="4" t="s">
        <v>74</v>
      </c>
      <c r="B25" s="4" t="s">
        <v>75</v>
      </c>
      <c r="C25" s="4" t="s">
        <v>23</v>
      </c>
      <c r="D25" s="4" t="s">
        <v>69</v>
      </c>
      <c r="E25" s="4" t="s">
        <v>18</v>
      </c>
      <c r="F25" s="2">
        <v>86</v>
      </c>
      <c r="G25" s="2">
        <v>17</v>
      </c>
      <c r="H25" s="2">
        <v>21</v>
      </c>
      <c r="I25" s="2">
        <v>23</v>
      </c>
      <c r="J25" s="2">
        <v>74</v>
      </c>
      <c r="K25" s="2">
        <v>135</v>
      </c>
      <c r="L25" s="6">
        <v>0.84379999999999999</v>
      </c>
      <c r="M25" s="4" t="s">
        <v>24</v>
      </c>
      <c r="N25" s="4" t="s">
        <v>20</v>
      </c>
    </row>
    <row r="26" spans="1:14" x14ac:dyDescent="0.3">
      <c r="A26" s="4" t="s">
        <v>76</v>
      </c>
      <c r="B26" s="4" t="s">
        <v>77</v>
      </c>
      <c r="C26" s="4" t="s">
        <v>16</v>
      </c>
      <c r="D26" s="4" t="s">
        <v>69</v>
      </c>
      <c r="E26" s="4" t="s">
        <v>27</v>
      </c>
      <c r="F26" s="2">
        <v>78</v>
      </c>
      <c r="G26" s="2">
        <v>15</v>
      </c>
      <c r="H26" s="2">
        <v>18</v>
      </c>
      <c r="I26" s="2">
        <v>20</v>
      </c>
      <c r="J26" s="2">
        <v>61</v>
      </c>
      <c r="K26" s="2">
        <v>114</v>
      </c>
      <c r="L26" s="6">
        <v>0.71250000000000002</v>
      </c>
      <c r="M26" s="4" t="s">
        <v>28</v>
      </c>
      <c r="N26" s="4" t="s">
        <v>20</v>
      </c>
    </row>
    <row r="27" spans="1:14" x14ac:dyDescent="0.3">
      <c r="A27" s="4" t="s">
        <v>78</v>
      </c>
      <c r="B27" s="4" t="s">
        <v>79</v>
      </c>
      <c r="C27" s="4" t="s">
        <v>23</v>
      </c>
      <c r="D27" s="4" t="s">
        <v>69</v>
      </c>
      <c r="E27" s="4" t="s">
        <v>33</v>
      </c>
      <c r="F27" s="2">
        <v>91</v>
      </c>
      <c r="G27" s="2">
        <v>18</v>
      </c>
      <c r="H27" s="2">
        <v>22</v>
      </c>
      <c r="I27" s="2">
        <v>24</v>
      </c>
      <c r="J27" s="2">
        <v>77</v>
      </c>
      <c r="K27" s="2">
        <v>141</v>
      </c>
      <c r="L27" s="6">
        <v>0.88129999999999997</v>
      </c>
      <c r="M27" s="4" t="s">
        <v>24</v>
      </c>
      <c r="N27" s="4" t="s">
        <v>20</v>
      </c>
    </row>
    <row r="28" spans="1:14" x14ac:dyDescent="0.3">
      <c r="A28" s="4" t="s">
        <v>80</v>
      </c>
      <c r="B28" s="4" t="s">
        <v>81</v>
      </c>
      <c r="C28" s="4" t="s">
        <v>16</v>
      </c>
      <c r="D28" s="4" t="s">
        <v>69</v>
      </c>
      <c r="E28" s="4" t="s">
        <v>18</v>
      </c>
      <c r="F28" s="2">
        <v>66</v>
      </c>
      <c r="G28" s="2">
        <v>12</v>
      </c>
      <c r="H28" s="2">
        <v>16</v>
      </c>
      <c r="I28" s="2">
        <v>18</v>
      </c>
      <c r="J28" s="2">
        <v>48</v>
      </c>
      <c r="K28" s="2">
        <v>94</v>
      </c>
      <c r="L28" s="6">
        <v>0.58750000000000002</v>
      </c>
      <c r="M28" s="4" t="s">
        <v>52</v>
      </c>
      <c r="N28" s="4" t="s">
        <v>20</v>
      </c>
    </row>
    <row r="29" spans="1:14" x14ac:dyDescent="0.3">
      <c r="A29" s="4" t="s">
        <v>82</v>
      </c>
      <c r="B29" s="4" t="s">
        <v>83</v>
      </c>
      <c r="C29" s="4" t="s">
        <v>23</v>
      </c>
      <c r="D29" s="4" t="s">
        <v>69</v>
      </c>
      <c r="E29" s="4" t="s">
        <v>27</v>
      </c>
      <c r="F29" s="2">
        <v>88</v>
      </c>
      <c r="G29" s="2">
        <v>17</v>
      </c>
      <c r="H29" s="2">
        <v>21</v>
      </c>
      <c r="I29" s="2">
        <v>22</v>
      </c>
      <c r="J29" s="2">
        <v>71</v>
      </c>
      <c r="K29" s="2">
        <v>131</v>
      </c>
      <c r="L29" s="6">
        <v>0.81879999999999997</v>
      </c>
      <c r="M29" s="4" t="s">
        <v>24</v>
      </c>
      <c r="N29" s="4" t="s">
        <v>20</v>
      </c>
    </row>
    <row r="30" spans="1:14" x14ac:dyDescent="0.3">
      <c r="A30" s="4" t="s">
        <v>84</v>
      </c>
      <c r="B30" s="4" t="s">
        <v>85</v>
      </c>
      <c r="C30" s="4" t="s">
        <v>16</v>
      </c>
      <c r="D30" s="4" t="s">
        <v>69</v>
      </c>
      <c r="E30" s="4" t="s">
        <v>33</v>
      </c>
      <c r="F30" s="2">
        <v>74</v>
      </c>
      <c r="G30" s="2">
        <v>14</v>
      </c>
      <c r="H30" s="2">
        <v>18</v>
      </c>
      <c r="I30" s="2">
        <v>20</v>
      </c>
      <c r="J30" s="2">
        <v>56</v>
      </c>
      <c r="K30" s="2">
        <v>108</v>
      </c>
      <c r="L30" s="6">
        <v>0.67500000000000004</v>
      </c>
      <c r="M30" s="4" t="s">
        <v>38</v>
      </c>
      <c r="N30" s="4" t="s">
        <v>20</v>
      </c>
    </row>
    <row r="31" spans="1:14" x14ac:dyDescent="0.3">
      <c r="A31" s="4" t="s">
        <v>86</v>
      </c>
      <c r="B31" s="4" t="s">
        <v>87</v>
      </c>
      <c r="C31" s="4" t="s">
        <v>23</v>
      </c>
      <c r="D31" s="4" t="s">
        <v>69</v>
      </c>
      <c r="E31" s="4" t="s">
        <v>18</v>
      </c>
      <c r="F31" s="2">
        <v>98</v>
      </c>
      <c r="G31" s="2">
        <v>20</v>
      </c>
      <c r="H31" s="2">
        <v>24</v>
      </c>
      <c r="I31" s="2">
        <v>25</v>
      </c>
      <c r="J31" s="2">
        <v>89</v>
      </c>
      <c r="K31" s="2">
        <v>158</v>
      </c>
      <c r="L31" s="6">
        <v>0.98750000000000004</v>
      </c>
      <c r="M31" s="4" t="s">
        <v>19</v>
      </c>
      <c r="N31" s="4" t="s">
        <v>20</v>
      </c>
    </row>
    <row r="32" spans="1:14" x14ac:dyDescent="0.3">
      <c r="A32" s="4" t="s">
        <v>88</v>
      </c>
      <c r="B32" s="4" t="s">
        <v>89</v>
      </c>
      <c r="C32" s="4" t="s">
        <v>16</v>
      </c>
      <c r="D32" s="4" t="s">
        <v>17</v>
      </c>
      <c r="E32" s="4" t="s">
        <v>27</v>
      </c>
      <c r="F32" s="2">
        <v>69</v>
      </c>
      <c r="G32" s="2">
        <v>13</v>
      </c>
      <c r="H32" s="2">
        <v>17</v>
      </c>
      <c r="I32" s="2">
        <v>19</v>
      </c>
      <c r="J32" s="2">
        <v>50</v>
      </c>
      <c r="K32" s="2">
        <v>99</v>
      </c>
      <c r="L32" s="6">
        <v>0.61880000000000002</v>
      </c>
      <c r="M32" s="4" t="s">
        <v>38</v>
      </c>
      <c r="N32" s="4" t="s">
        <v>20</v>
      </c>
    </row>
    <row r="33" spans="1:14" x14ac:dyDescent="0.3">
      <c r="A33" s="4" t="s">
        <v>90</v>
      </c>
      <c r="B33" s="4" t="s">
        <v>91</v>
      </c>
      <c r="C33" s="4" t="s">
        <v>23</v>
      </c>
      <c r="D33" s="4" t="s">
        <v>17</v>
      </c>
      <c r="E33" s="4" t="s">
        <v>33</v>
      </c>
      <c r="F33" s="2">
        <v>83</v>
      </c>
      <c r="G33" s="2">
        <v>16</v>
      </c>
      <c r="H33" s="2">
        <v>20</v>
      </c>
      <c r="I33" s="2">
        <v>22</v>
      </c>
      <c r="J33" s="2">
        <v>66</v>
      </c>
      <c r="K33" s="2">
        <v>124</v>
      </c>
      <c r="L33" s="6">
        <v>0.77500000000000002</v>
      </c>
      <c r="M33" s="4" t="s">
        <v>28</v>
      </c>
      <c r="N33" s="4" t="s">
        <v>20</v>
      </c>
    </row>
    <row r="34" spans="1:14" x14ac:dyDescent="0.3">
      <c r="A34" s="4" t="s">
        <v>92</v>
      </c>
      <c r="B34" s="4" t="s">
        <v>93</v>
      </c>
      <c r="C34" s="4" t="s">
        <v>16</v>
      </c>
      <c r="D34" s="4" t="s">
        <v>17</v>
      </c>
      <c r="E34" s="4" t="s">
        <v>18</v>
      </c>
      <c r="F34" s="2">
        <v>80</v>
      </c>
      <c r="G34" s="2">
        <v>15</v>
      </c>
      <c r="H34" s="2">
        <v>19</v>
      </c>
      <c r="I34" s="2">
        <v>21</v>
      </c>
      <c r="J34" s="2">
        <v>64</v>
      </c>
      <c r="K34" s="2">
        <v>119</v>
      </c>
      <c r="L34" s="6">
        <v>0.74380000000000002</v>
      </c>
      <c r="M34" s="4" t="s">
        <v>28</v>
      </c>
      <c r="N34" s="4" t="s">
        <v>20</v>
      </c>
    </row>
    <row r="35" spans="1:14" x14ac:dyDescent="0.3">
      <c r="A35" s="4" t="s">
        <v>94</v>
      </c>
      <c r="B35" s="4" t="s">
        <v>95</v>
      </c>
      <c r="C35" s="4" t="s">
        <v>23</v>
      </c>
      <c r="D35" s="4" t="s">
        <v>17</v>
      </c>
      <c r="E35" s="4" t="s">
        <v>27</v>
      </c>
      <c r="F35" s="2">
        <v>92</v>
      </c>
      <c r="G35" s="2">
        <v>19</v>
      </c>
      <c r="H35" s="2">
        <v>23</v>
      </c>
      <c r="I35" s="2">
        <v>24</v>
      </c>
      <c r="J35" s="2">
        <v>82</v>
      </c>
      <c r="K35" s="2">
        <v>148</v>
      </c>
      <c r="L35" s="6">
        <v>0.92500000000000004</v>
      </c>
      <c r="M35" s="4" t="s">
        <v>19</v>
      </c>
      <c r="N35" s="4" t="s">
        <v>20</v>
      </c>
    </row>
    <row r="36" spans="1:14" x14ac:dyDescent="0.3">
      <c r="A36" s="4" t="s">
        <v>96</v>
      </c>
      <c r="B36" s="4" t="s">
        <v>97</v>
      </c>
      <c r="C36" s="4" t="s">
        <v>16</v>
      </c>
      <c r="D36" s="4" t="s">
        <v>17</v>
      </c>
      <c r="E36" s="4" t="s">
        <v>33</v>
      </c>
      <c r="F36" s="2">
        <v>64</v>
      </c>
      <c r="G36" s="2">
        <v>11</v>
      </c>
      <c r="H36" s="2">
        <v>15</v>
      </c>
      <c r="I36" s="2">
        <v>17</v>
      </c>
      <c r="J36" s="2">
        <v>44</v>
      </c>
      <c r="K36" s="2">
        <v>87</v>
      </c>
      <c r="L36" s="6">
        <v>0.54379999999999995</v>
      </c>
      <c r="M36" s="4" t="s">
        <v>52</v>
      </c>
      <c r="N36" s="4" t="s">
        <v>20</v>
      </c>
    </row>
    <row r="37" spans="1:14" x14ac:dyDescent="0.3">
      <c r="A37" s="4" t="s">
        <v>98</v>
      </c>
      <c r="B37" s="4" t="s">
        <v>99</v>
      </c>
      <c r="C37" s="4" t="s">
        <v>23</v>
      </c>
      <c r="D37" s="4" t="s">
        <v>17</v>
      </c>
      <c r="E37" s="4" t="s">
        <v>18</v>
      </c>
      <c r="F37" s="2">
        <v>90</v>
      </c>
      <c r="G37" s="2">
        <v>18</v>
      </c>
      <c r="H37" s="2">
        <v>22</v>
      </c>
      <c r="I37" s="2">
        <v>24</v>
      </c>
      <c r="J37" s="2">
        <v>76</v>
      </c>
      <c r="K37" s="2">
        <v>140</v>
      </c>
      <c r="L37" s="6">
        <v>0.875</v>
      </c>
      <c r="M37" s="4" t="s">
        <v>24</v>
      </c>
      <c r="N37" s="4" t="s">
        <v>20</v>
      </c>
    </row>
    <row r="38" spans="1:14" x14ac:dyDescent="0.3">
      <c r="A38" s="4" t="s">
        <v>100</v>
      </c>
      <c r="B38" s="4" t="s">
        <v>101</v>
      </c>
      <c r="C38" s="4" t="s">
        <v>16</v>
      </c>
      <c r="D38" s="4" t="s">
        <v>47</v>
      </c>
      <c r="E38" s="4" t="s">
        <v>27</v>
      </c>
      <c r="F38" s="2">
        <v>77</v>
      </c>
      <c r="G38" s="2">
        <v>14</v>
      </c>
      <c r="H38" s="2">
        <v>18</v>
      </c>
      <c r="I38" s="2">
        <v>20</v>
      </c>
      <c r="J38" s="2">
        <v>59</v>
      </c>
      <c r="K38" s="2">
        <v>111</v>
      </c>
      <c r="L38" s="6">
        <v>0.69379999999999997</v>
      </c>
      <c r="M38" s="4" t="s">
        <v>38</v>
      </c>
      <c r="N38" s="4" t="s">
        <v>20</v>
      </c>
    </row>
    <row r="39" spans="1:14" x14ac:dyDescent="0.3">
      <c r="A39" s="4" t="s">
        <v>102</v>
      </c>
      <c r="B39" s="4" t="s">
        <v>103</v>
      </c>
      <c r="C39" s="4" t="s">
        <v>23</v>
      </c>
      <c r="D39" s="4" t="s">
        <v>47</v>
      </c>
      <c r="E39" s="4" t="s">
        <v>33</v>
      </c>
      <c r="F39" s="2">
        <v>95</v>
      </c>
      <c r="G39" s="2">
        <v>19</v>
      </c>
      <c r="H39" s="2">
        <v>24</v>
      </c>
      <c r="I39" s="2">
        <v>25</v>
      </c>
      <c r="J39" s="2">
        <v>84</v>
      </c>
      <c r="K39" s="2">
        <v>152</v>
      </c>
      <c r="L39" s="6">
        <v>0.95</v>
      </c>
      <c r="M39" s="4" t="s">
        <v>19</v>
      </c>
      <c r="N39" s="4" t="s">
        <v>20</v>
      </c>
    </row>
    <row r="40" spans="1:14" x14ac:dyDescent="0.3">
      <c r="A40" s="4" t="s">
        <v>104</v>
      </c>
      <c r="B40" s="4" t="s">
        <v>105</v>
      </c>
      <c r="C40" s="4" t="s">
        <v>16</v>
      </c>
      <c r="D40" s="4" t="s">
        <v>47</v>
      </c>
      <c r="E40" s="4" t="s">
        <v>18</v>
      </c>
      <c r="F40" s="2">
        <v>71</v>
      </c>
      <c r="G40" s="2">
        <v>13</v>
      </c>
      <c r="H40" s="2">
        <v>17</v>
      </c>
      <c r="I40" s="2">
        <v>19</v>
      </c>
      <c r="J40" s="2">
        <v>53</v>
      </c>
      <c r="K40" s="2">
        <v>102</v>
      </c>
      <c r="L40" s="6">
        <v>0.63749999999999996</v>
      </c>
      <c r="M40" s="4" t="s">
        <v>38</v>
      </c>
      <c r="N40" s="4" t="s">
        <v>20</v>
      </c>
    </row>
    <row r="41" spans="1:14" x14ac:dyDescent="0.3">
      <c r="A41" s="4" t="s">
        <v>106</v>
      </c>
      <c r="B41" s="4" t="s">
        <v>107</v>
      </c>
      <c r="C41" s="4" t="s">
        <v>23</v>
      </c>
      <c r="D41" s="4" t="s">
        <v>47</v>
      </c>
      <c r="E41" s="4" t="s">
        <v>27</v>
      </c>
      <c r="F41" s="2">
        <v>87</v>
      </c>
      <c r="G41" s="2">
        <v>17</v>
      </c>
      <c r="H41" s="2">
        <v>21</v>
      </c>
      <c r="I41" s="2">
        <v>23</v>
      </c>
      <c r="J41" s="2">
        <v>72</v>
      </c>
      <c r="K41" s="2">
        <v>133</v>
      </c>
      <c r="L41" s="6">
        <v>0.83130000000000004</v>
      </c>
      <c r="M41" s="4" t="s">
        <v>24</v>
      </c>
      <c r="N41" s="4" t="s">
        <v>20</v>
      </c>
    </row>
    <row r="42" spans="1:14" x14ac:dyDescent="0.3">
      <c r="A42" s="4" t="s">
        <v>108</v>
      </c>
      <c r="B42" s="4" t="s">
        <v>109</v>
      </c>
      <c r="C42" s="4" t="s">
        <v>16</v>
      </c>
      <c r="D42" s="4" t="s">
        <v>69</v>
      </c>
      <c r="E42" s="4" t="s">
        <v>33</v>
      </c>
      <c r="F42" s="2">
        <v>62</v>
      </c>
      <c r="G42" s="2">
        <v>10</v>
      </c>
      <c r="H42" s="2">
        <v>14</v>
      </c>
      <c r="I42" s="2">
        <v>16</v>
      </c>
      <c r="J42" s="2">
        <v>42</v>
      </c>
      <c r="K42" s="2">
        <v>82</v>
      </c>
      <c r="L42" s="6">
        <v>0.51249999999999996</v>
      </c>
      <c r="M42" s="4" t="s">
        <v>52</v>
      </c>
      <c r="N42" s="4" t="s">
        <v>20</v>
      </c>
    </row>
    <row r="43" spans="1:14" x14ac:dyDescent="0.3">
      <c r="A43" s="4" t="s">
        <v>110</v>
      </c>
      <c r="B43" s="4" t="s">
        <v>111</v>
      </c>
      <c r="C43" s="4" t="s">
        <v>23</v>
      </c>
      <c r="D43" s="4" t="s">
        <v>69</v>
      </c>
      <c r="E43" s="4" t="s">
        <v>18</v>
      </c>
      <c r="F43" s="2">
        <v>94</v>
      </c>
      <c r="G43" s="2">
        <v>19</v>
      </c>
      <c r="H43" s="2">
        <v>23</v>
      </c>
      <c r="I43" s="2">
        <v>24</v>
      </c>
      <c r="J43" s="2">
        <v>80</v>
      </c>
      <c r="K43" s="2">
        <v>146</v>
      </c>
      <c r="L43" s="6">
        <v>0.91249999999999998</v>
      </c>
      <c r="M43" s="4" t="s">
        <v>19</v>
      </c>
      <c r="N43" s="4" t="s">
        <v>20</v>
      </c>
    </row>
    <row r="44" spans="1:14" x14ac:dyDescent="0.3">
      <c r="A44" s="4" t="s">
        <v>112</v>
      </c>
      <c r="B44" s="4" t="s">
        <v>113</v>
      </c>
      <c r="C44" s="4" t="s">
        <v>16</v>
      </c>
      <c r="D44" s="4" t="s">
        <v>69</v>
      </c>
      <c r="E44" s="4" t="s">
        <v>27</v>
      </c>
      <c r="F44" s="2">
        <v>75</v>
      </c>
      <c r="G44" s="2">
        <v>14</v>
      </c>
      <c r="H44" s="2">
        <v>18</v>
      </c>
      <c r="I44" s="2">
        <v>20</v>
      </c>
      <c r="J44" s="2">
        <v>58</v>
      </c>
      <c r="K44" s="2">
        <v>110</v>
      </c>
      <c r="L44" s="6">
        <v>0.6875</v>
      </c>
      <c r="M44" s="4" t="s">
        <v>38</v>
      </c>
      <c r="N44" s="4" t="s">
        <v>20</v>
      </c>
    </row>
    <row r="45" spans="1:14" x14ac:dyDescent="0.3">
      <c r="A45" s="4" t="s">
        <v>114</v>
      </c>
      <c r="B45" s="4" t="s">
        <v>115</v>
      </c>
      <c r="C45" s="4" t="s">
        <v>23</v>
      </c>
      <c r="D45" s="4" t="s">
        <v>69</v>
      </c>
      <c r="E45" s="4" t="s">
        <v>33</v>
      </c>
      <c r="F45" s="2">
        <v>89</v>
      </c>
      <c r="G45" s="2">
        <v>18</v>
      </c>
      <c r="H45" s="2">
        <v>22</v>
      </c>
      <c r="I45" s="2">
        <v>23</v>
      </c>
      <c r="J45" s="2">
        <v>75</v>
      </c>
      <c r="K45" s="2">
        <v>138</v>
      </c>
      <c r="L45" s="6">
        <v>0.86250000000000004</v>
      </c>
      <c r="M45" s="4" t="s">
        <v>24</v>
      </c>
      <c r="N45" s="4" t="s">
        <v>20</v>
      </c>
    </row>
    <row r="46" spans="1:14" x14ac:dyDescent="0.3">
      <c r="A46" s="4" t="s">
        <v>116</v>
      </c>
      <c r="B46" s="4" t="s">
        <v>117</v>
      </c>
      <c r="C46" s="4" t="s">
        <v>16</v>
      </c>
      <c r="D46" s="4" t="s">
        <v>69</v>
      </c>
      <c r="E46" s="4" t="s">
        <v>18</v>
      </c>
      <c r="F46" s="2">
        <v>67</v>
      </c>
      <c r="G46" s="2">
        <v>12</v>
      </c>
      <c r="H46" s="2">
        <v>16</v>
      </c>
      <c r="I46" s="2">
        <v>18</v>
      </c>
      <c r="J46" s="2">
        <v>47</v>
      </c>
      <c r="K46" s="2">
        <v>93</v>
      </c>
      <c r="L46" s="6">
        <v>0.58130000000000004</v>
      </c>
      <c r="M46" s="4" t="s">
        <v>52</v>
      </c>
      <c r="N46" s="4" t="s">
        <v>20</v>
      </c>
    </row>
    <row r="47" spans="1:14" x14ac:dyDescent="0.3">
      <c r="A47" s="4" t="s">
        <v>118</v>
      </c>
      <c r="B47" s="4" t="s">
        <v>119</v>
      </c>
      <c r="C47" s="4" t="s">
        <v>23</v>
      </c>
      <c r="D47" s="4" t="s">
        <v>69</v>
      </c>
      <c r="E47" s="4" t="s">
        <v>27</v>
      </c>
      <c r="F47" s="2">
        <v>96</v>
      </c>
      <c r="G47" s="2">
        <v>20</v>
      </c>
      <c r="H47" s="2">
        <v>24</v>
      </c>
      <c r="I47" s="2">
        <v>25</v>
      </c>
      <c r="J47" s="2">
        <v>86</v>
      </c>
      <c r="K47" s="2">
        <v>155</v>
      </c>
      <c r="L47" s="6">
        <v>0.96879999999999999</v>
      </c>
      <c r="M47" s="4" t="s">
        <v>19</v>
      </c>
      <c r="N47" s="4" t="s">
        <v>20</v>
      </c>
    </row>
    <row r="48" spans="1:14" x14ac:dyDescent="0.3">
      <c r="A48" s="4" t="s">
        <v>120</v>
      </c>
      <c r="B48" s="4" t="s">
        <v>121</v>
      </c>
      <c r="C48" s="4" t="s">
        <v>16</v>
      </c>
      <c r="D48" s="4" t="s">
        <v>17</v>
      </c>
      <c r="E48" s="4" t="s">
        <v>33</v>
      </c>
      <c r="F48" s="2">
        <v>79</v>
      </c>
      <c r="G48" s="2">
        <v>15</v>
      </c>
      <c r="H48" s="2">
        <v>19</v>
      </c>
      <c r="I48" s="2">
        <v>21</v>
      </c>
      <c r="J48" s="2">
        <v>62</v>
      </c>
      <c r="K48" s="2">
        <v>117</v>
      </c>
      <c r="L48" s="6">
        <v>0.73129999999999995</v>
      </c>
      <c r="M48" s="4" t="s">
        <v>28</v>
      </c>
      <c r="N48" s="4" t="s">
        <v>20</v>
      </c>
    </row>
    <row r="49" spans="1:14" x14ac:dyDescent="0.3">
      <c r="A49" s="4" t="s">
        <v>122</v>
      </c>
      <c r="B49" s="4" t="s">
        <v>123</v>
      </c>
      <c r="C49" s="4" t="s">
        <v>23</v>
      </c>
      <c r="D49" s="4" t="s">
        <v>47</v>
      </c>
      <c r="E49" s="4" t="s">
        <v>18</v>
      </c>
      <c r="F49" s="2">
        <v>85</v>
      </c>
      <c r="G49" s="2">
        <v>17</v>
      </c>
      <c r="H49" s="2">
        <v>21</v>
      </c>
      <c r="I49" s="2">
        <v>22</v>
      </c>
      <c r="J49" s="2">
        <v>70</v>
      </c>
      <c r="K49" s="2">
        <v>130</v>
      </c>
      <c r="L49" s="6">
        <v>0.8125</v>
      </c>
      <c r="M49" s="4" t="s">
        <v>24</v>
      </c>
      <c r="N49" s="4" t="s">
        <v>20</v>
      </c>
    </row>
    <row r="50" spans="1:14" x14ac:dyDescent="0.3">
      <c r="A50" s="4" t="s">
        <v>124</v>
      </c>
      <c r="B50" s="4" t="s">
        <v>125</v>
      </c>
      <c r="C50" s="4" t="s">
        <v>23</v>
      </c>
      <c r="D50" s="4" t="s">
        <v>69</v>
      </c>
      <c r="E50" s="4" t="s">
        <v>27</v>
      </c>
      <c r="F50" s="2">
        <v>93</v>
      </c>
      <c r="G50" s="2">
        <v>19</v>
      </c>
      <c r="H50" s="2">
        <v>23</v>
      </c>
      <c r="I50" s="2">
        <v>24</v>
      </c>
      <c r="J50" s="2">
        <v>83</v>
      </c>
      <c r="K50" s="2">
        <v>149</v>
      </c>
      <c r="L50" s="6">
        <v>0.93130000000000002</v>
      </c>
      <c r="M50" s="4" t="s">
        <v>19</v>
      </c>
      <c r="N50" s="4" t="s">
        <v>20</v>
      </c>
    </row>
    <row r="51" spans="1:14" x14ac:dyDescent="0.3">
      <c r="A51" s="4" t="s">
        <v>126</v>
      </c>
      <c r="B51" s="4" t="s">
        <v>127</v>
      </c>
      <c r="C51" s="4" t="s">
        <v>16</v>
      </c>
      <c r="D51" s="4" t="s">
        <v>17</v>
      </c>
      <c r="E51" s="4" t="s">
        <v>33</v>
      </c>
      <c r="F51" s="2">
        <v>58</v>
      </c>
      <c r="G51" s="2">
        <v>10</v>
      </c>
      <c r="H51" s="2">
        <v>13</v>
      </c>
      <c r="I51" s="2">
        <v>15</v>
      </c>
      <c r="J51" s="2">
        <v>39</v>
      </c>
      <c r="K51" s="2">
        <v>77</v>
      </c>
      <c r="L51" s="6">
        <v>0.48130000000000001</v>
      </c>
      <c r="M51" s="4" t="s">
        <v>128</v>
      </c>
      <c r="N51" s="7"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Backdata</vt:lpstr>
      <vt:lpstr>Dashboard</vt:lpstr>
      <vt:lpstr>Excel Dta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 more</dc:creator>
  <cp:lastModifiedBy>Gauri more</cp:lastModifiedBy>
  <dcterms:created xsi:type="dcterms:W3CDTF">2026-08-26T16:37:59Z</dcterms:created>
  <dcterms:modified xsi:type="dcterms:W3CDTF">2026-08-28T09:44:05Z</dcterms:modified>
</cp:coreProperties>
</file>